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betty.basasibwaki\AppData\Local\Microsoft\Windows\INetCache\Content.Outlook\P7P7SZG7\"/>
    </mc:Choice>
  </mc:AlternateContent>
  <xr:revisionPtr revIDLastSave="0" documentId="8_{C8F92A7A-D7FD-42FA-8C09-29CE6FE01974}" xr6:coauthVersionLast="43" xr6:coauthVersionMax="43" xr10:uidLastSave="{00000000-0000-0000-0000-000000000000}"/>
  <workbookProtection workbookAlgorithmName="SHA-512" workbookHashValue="dO8l97AxveXH4DKUBm1X9Q2/MF+gHo7wlxs5FSIEf7aNXywd5PCbZiaFIfd2jUSzv2p1g/OWifOl1/6epM17og==" workbookSaltValue="zrPBmfIy7CmNYq78nw8JpQ==" workbookSpinCount="100000" lockStructure="1"/>
  <bookViews>
    <workbookView xWindow="-120" yWindow="-120" windowWidth="20730" windowHeight="11310" xr2:uid="{00000000-000D-0000-FFFF-FFFF00000000}"/>
  </bookViews>
  <sheets>
    <sheet name="SMC Order &amp; Report Form" sheetId="1" r:id="rId1"/>
    <sheet name="Master List" sheetId="2" state="hidden" r:id="rId2"/>
  </sheets>
  <definedNames>
    <definedName name="_xlnm._FilterDatabase" localSheetId="1" hidden="1">'Master List'!$B$2:$E$360</definedName>
    <definedName name="_xlnm.Print_Titles" localSheetId="0">'SMC Order &amp; Report Form'!$6:$6</definedName>
    <definedName name="Z_6D78005F_E03F_490D_AADB_5D0AA1EAD984_.wvu.PrintTitles" localSheetId="0" hidden="1">'SMC Order &amp; Report Form'!$6:$6</definedName>
    <definedName name="Z_6D78005F_E03F_490D_AADB_5D0AA1EAD984_.wvu.Rows" localSheetId="0" hidden="1">'SMC Order &amp; Report Form'!$7:$7</definedName>
    <definedName name="Z_ED3C4C1F_71A2_48D3_B2FD_7541740A8761_.wvu.PrintTitles" localSheetId="0" hidden="1">'SMC Order &amp; Report Form'!$6:$6</definedName>
    <definedName name="Z_ED3C4C1F_71A2_48D3_B2FD_7541740A8761_.wvu.Rows" localSheetId="0" hidden="1">'SMC Order &amp; Report Form'!$7:$7</definedName>
  </definedNames>
  <calcPr calcId="191029"/>
  <customWorkbookViews>
    <customWorkbookView name="Christopher Ssekandi - Personal View" guid="{6D78005F-E03F-490D-AADB-5D0AA1EAD984}" mergeInterval="0" personalView="1" maximized="1" windowWidth="1362" windowHeight="543" activeSheetId="1"/>
    <customWorkbookView name="Suubi Lubega - Personal View" guid="{ED3C4C1F-71A2-48D3-B2FD-7541740A8761}"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36" i="1" l="1"/>
  <c r="G35" i="1"/>
  <c r="J35" i="1" s="1"/>
  <c r="J34" i="1"/>
  <c r="G34" i="1"/>
  <c r="G33" i="1"/>
  <c r="J33" i="1" s="1"/>
  <c r="J32" i="1"/>
  <c r="G31" i="1"/>
  <c r="J31" i="1" s="1"/>
  <c r="G97" i="1" l="1"/>
  <c r="G96" i="1"/>
  <c r="G89" i="1"/>
  <c r="J89" i="1" s="1"/>
  <c r="G87" i="1"/>
  <c r="J87" i="1" s="1"/>
  <c r="G82" i="1"/>
  <c r="G81" i="1"/>
  <c r="G80" i="1"/>
  <c r="G79" i="1"/>
  <c r="G78" i="1"/>
  <c r="G76" i="1"/>
  <c r="J76" i="1" s="1"/>
  <c r="G75" i="1"/>
  <c r="G74" i="1"/>
  <c r="J71" i="1"/>
  <c r="G71" i="1"/>
  <c r="G70" i="1"/>
  <c r="G69" i="1"/>
  <c r="J69" i="1" s="1"/>
  <c r="J68" i="1"/>
  <c r="G65" i="1"/>
  <c r="G64" i="1"/>
  <c r="G63" i="1"/>
  <c r="G62" i="1"/>
  <c r="G60" i="1"/>
  <c r="G59" i="1"/>
  <c r="G58" i="1"/>
  <c r="G57" i="1"/>
  <c r="G56" i="1"/>
  <c r="G55" i="1"/>
  <c r="G54" i="1"/>
  <c r="G53" i="1"/>
  <c r="G52" i="1"/>
  <c r="G50" i="1"/>
  <c r="G49" i="1"/>
  <c r="G48" i="1"/>
  <c r="G47" i="1"/>
  <c r="G46" i="1"/>
  <c r="G45" i="1"/>
  <c r="G44" i="1"/>
  <c r="G42" i="1"/>
  <c r="G41" i="1"/>
  <c r="G40" i="1"/>
  <c r="G39" i="1"/>
  <c r="G38" i="1"/>
  <c r="G12" i="1"/>
  <c r="G11" i="1"/>
  <c r="G10" i="1"/>
  <c r="G9" i="1"/>
  <c r="C5" i="1" l="1"/>
  <c r="C4" i="1"/>
  <c r="C2" i="1"/>
</calcChain>
</file>

<file path=xl/sharedStrings.xml><?xml version="1.0" encoding="utf-8"?>
<sst xmlns="http://schemas.openxmlformats.org/spreadsheetml/2006/main" count="1249" uniqueCount="930">
  <si>
    <t>SAFE MALE CIRCUMCISION ORDER AND REPORT FORM</t>
  </si>
  <si>
    <t>#</t>
  </si>
  <si>
    <t>DESCRIPTION</t>
  </si>
  <si>
    <r>
      <t xml:space="preserve">OPENING BALANCE                                          </t>
    </r>
    <r>
      <rPr>
        <sz val="12"/>
        <rFont val="Arial Narrow"/>
        <family val="2"/>
      </rPr>
      <t xml:space="preserve"> At start of period</t>
    </r>
  </si>
  <si>
    <r>
      <t>QTY RECEIVED</t>
    </r>
    <r>
      <rPr>
        <sz val="12"/>
        <rFont val="Arial Narrow"/>
        <family val="2"/>
      </rPr>
      <t xml:space="preserve">
During the period</t>
    </r>
  </si>
  <si>
    <r>
      <rPr>
        <b/>
        <sz val="12"/>
        <rFont val="Arial Narrow"/>
        <family val="2"/>
      </rPr>
      <t>CONSUMPTION</t>
    </r>
    <r>
      <rPr>
        <sz val="12"/>
        <rFont val="Arial Narrow"/>
        <family val="2"/>
      </rPr>
      <t xml:space="preserve"> 
During the period</t>
    </r>
  </si>
  <si>
    <t>LOSSES/
ADJUSTMENTS (-/+)</t>
  </si>
  <si>
    <t>TOTAL CLOSING BALANCE</t>
  </si>
  <si>
    <t>QUANTITY TO ORDER</t>
  </si>
  <si>
    <t>COMMENTS</t>
  </si>
  <si>
    <t>A</t>
  </si>
  <si>
    <t>B</t>
  </si>
  <si>
    <t>C</t>
  </si>
  <si>
    <t>D</t>
  </si>
  <si>
    <t>E</t>
  </si>
  <si>
    <t>F</t>
  </si>
  <si>
    <t>G</t>
  </si>
  <si>
    <t>SMC Kit</t>
  </si>
  <si>
    <t>Disposable Safe Male Circumcision Kit</t>
  </si>
  <si>
    <t>Prepex (Non Surgical Procedure)</t>
  </si>
  <si>
    <t>MC Sutureles Clamp, Prepex A</t>
  </si>
  <si>
    <t>MC Sutureles Clamp, Prepex B</t>
  </si>
  <si>
    <t>MC Sutureles Clamp, Prepex C</t>
  </si>
  <si>
    <t>MC Sutureles Clamp, Prepex D</t>
  </si>
  <si>
    <t>MC Sutureles Clamp, Prepex E</t>
  </si>
  <si>
    <t>MC,Sizing plate Prepex</t>
  </si>
  <si>
    <t xml:space="preserve">MC, Scissors, Nurse Utility for Prepex </t>
  </si>
  <si>
    <t>General Consumables</t>
  </si>
  <si>
    <t>Normal Saline 0.9% IV 500ml</t>
  </si>
  <si>
    <t>Paracetamol 500mg</t>
  </si>
  <si>
    <t>Povidone Iodine 10%</t>
  </si>
  <si>
    <t>Alcohol 95% not denaturated</t>
  </si>
  <si>
    <t>Dispensing envelopes</t>
  </si>
  <si>
    <t>Sodium Hypochlorite</t>
  </si>
  <si>
    <t>50 Pairs</t>
  </si>
  <si>
    <t>Disposable Face Masks</t>
  </si>
  <si>
    <t>Disposable Head caps</t>
  </si>
  <si>
    <t>Disposable Mackintosh for Beds (1.5 x2m)</t>
  </si>
  <si>
    <t>20ML Syringe</t>
  </si>
  <si>
    <t>Crepe Bandage</t>
  </si>
  <si>
    <t>SMC Emergency Kit Supplies</t>
  </si>
  <si>
    <t>Adrenaline, 1mg/ml, 1 ml</t>
  </si>
  <si>
    <t>Atropine 1mg/ml</t>
  </si>
  <si>
    <t>Non-rebreather Oxygen Mask and Oxygen tubing [Adult]</t>
  </si>
  <si>
    <t>Ambubag- with Reservoir Bag &amp; oxygen Tubing</t>
  </si>
  <si>
    <t>Oropharyngeal airway tubes, Transparent, size 3 (96mm)</t>
  </si>
  <si>
    <t>Oropharyngeal airway tubes,Transparent, size 4 (103mm)</t>
  </si>
  <si>
    <t>Stethoscope, Binaural</t>
  </si>
  <si>
    <t>Laryngoscope, Battery operated</t>
  </si>
  <si>
    <t>IV Infusion Tubing</t>
  </si>
  <si>
    <t>IV Catheter, 18Gx1.75" (1.3x45mm) with port &amp; wings</t>
  </si>
  <si>
    <t>IV Catheter, 22Gx1" (.09x25mm) with port &amp; wings</t>
  </si>
  <si>
    <t>IV Catheter, 16Gx1.75" (09x25mm) with port &amp; wings</t>
  </si>
  <si>
    <t>AdhesiveTape</t>
  </si>
  <si>
    <t>Pump, aspirating, surgical; portable, foot-operated</t>
  </si>
  <si>
    <t>Endotracheal Tube, CH 6, 50cm, disposable, sterile</t>
  </si>
  <si>
    <t>Endotracheal Tube, CH 7, 50cm, disposable, sterile</t>
  </si>
  <si>
    <t>Endotracheal Tube, CH 8, 50cm, disposable, sterile</t>
  </si>
  <si>
    <t>100's</t>
  </si>
  <si>
    <t xml:space="preserve">Gauze, 4x4 inch (or 10x10cm) </t>
  </si>
  <si>
    <t>Syringe 2 cc, (syringes  without  needles)</t>
  </si>
  <si>
    <t>Syringe 10 cc, (syringes  without  needles)</t>
  </si>
  <si>
    <t>Needle 23 Gauge, 0.6X25 mm sterle  disposable</t>
  </si>
  <si>
    <t>Needle 21 Gauge, 0.8X38 mm sterile  disposable</t>
  </si>
  <si>
    <t>SMC PATIENT SUMMARY</t>
  </si>
  <si>
    <t>IP/HEALTH FACILITY CONTACTS</t>
  </si>
  <si>
    <t>PREPARED BY</t>
  </si>
  <si>
    <t>APPROVED BY</t>
  </si>
  <si>
    <t>Name:</t>
  </si>
  <si>
    <t>Signature:</t>
  </si>
  <si>
    <t>Designation:</t>
  </si>
  <si>
    <t>Phone No:</t>
  </si>
  <si>
    <t>MC Forceps Clamp, Mosquito, Straight</t>
  </si>
  <si>
    <t>MC Scissors, Harvey Wire Cutting</t>
  </si>
  <si>
    <t>MC Periostal Elevator, Surgical Spatula</t>
  </si>
  <si>
    <t>Surgical Marker</t>
  </si>
  <si>
    <t>5L</t>
  </si>
  <si>
    <t>1L</t>
  </si>
  <si>
    <t>500ml</t>
  </si>
  <si>
    <t>Equipment</t>
  </si>
  <si>
    <t>I.V Hydrocortisone 100mg</t>
  </si>
  <si>
    <t>Bupivacaine 0.5% 20ml</t>
  </si>
  <si>
    <t xml:space="preserve">Determine HIV 1/2  </t>
  </si>
  <si>
    <t xml:space="preserve">Chase Buffer </t>
  </si>
  <si>
    <t>Test</t>
  </si>
  <si>
    <t>Stat-Pak HIV 1/2</t>
  </si>
  <si>
    <t>Disposable gloves (Size 7)</t>
  </si>
  <si>
    <t>Disposable gloves (Size 7.5)</t>
  </si>
  <si>
    <t>Disposable gloves (Size 8.0)</t>
  </si>
  <si>
    <t xml:space="preserve">Sharps Container </t>
  </si>
  <si>
    <t>Cotton wool (500gms)</t>
  </si>
  <si>
    <t>Additional Instruments for Dorsal Slit</t>
  </si>
  <si>
    <t>Reusable Safe Male Circumcision Kit</t>
  </si>
  <si>
    <t>SMC Kit Essential Consumables Pack Single Use</t>
  </si>
  <si>
    <t>Vial</t>
  </si>
  <si>
    <t>No. of people  circumcised during the previous period</t>
  </si>
  <si>
    <t>No. of people targeted to be circumcised during the next period</t>
  </si>
  <si>
    <t>Biohazard bags 21 inch (Red)</t>
  </si>
  <si>
    <t>Biohazard bags 21 inch (Yellow)</t>
  </si>
  <si>
    <t>Biohazard bags 30 inch (Yellow)</t>
  </si>
  <si>
    <t>HIV Test Kits</t>
  </si>
  <si>
    <t>Mixture of Lidocaine 2.5% and Prilocaine 2.5% cream</t>
  </si>
  <si>
    <t>Surgical blades size 10 (Prepex cutter 5)</t>
  </si>
  <si>
    <t>Lidocaine 5% cream</t>
  </si>
  <si>
    <t>Alcohol Swabs</t>
  </si>
  <si>
    <t>Amp</t>
  </si>
  <si>
    <t>UoM</t>
  </si>
  <si>
    <t>PRODUCT CODE</t>
  </si>
  <si>
    <t>Surgical Gloves - non powdered (Size 7)</t>
  </si>
  <si>
    <t>Surgical Gloves - non powdered (Size 7.5)</t>
  </si>
  <si>
    <t>Surgical Gloves - non powdered (Size 8.0)</t>
  </si>
  <si>
    <t>Suture Material</t>
  </si>
  <si>
    <t>12s</t>
  </si>
  <si>
    <t>MC, Prepex Dressing Total</t>
  </si>
  <si>
    <t>Glucose 50% (IV Dextrose 50%)</t>
  </si>
  <si>
    <t>Sterile Disposable MC Kit, Single Use All Surgical Procedures</t>
  </si>
  <si>
    <t xml:space="preserve">SD Bioline, HIV 1/2, Bioline 3.0 Kit </t>
  </si>
  <si>
    <t xml:space="preserve">Latex, Powder Free Disposable Exam Glove, Small size </t>
  </si>
  <si>
    <t xml:space="preserve">Latex, Powder Free Disposable Exam Glove, Medium size </t>
  </si>
  <si>
    <t xml:space="preserve">Latex, Powder Free Disposable Exam Glove, Large size </t>
  </si>
  <si>
    <t xml:space="preserve">Lignocaine 2% 30 ml </t>
  </si>
  <si>
    <t>HF Code:</t>
  </si>
  <si>
    <t>Cycle:</t>
  </si>
  <si>
    <t>Facility Name:</t>
  </si>
  <si>
    <t>Start Date:</t>
  </si>
  <si>
    <t>District:</t>
  </si>
  <si>
    <t>End Date:</t>
  </si>
  <si>
    <t>Delivery Zone</t>
  </si>
  <si>
    <t xml:space="preserve">Date Prepared: </t>
  </si>
  <si>
    <t>Biohazard bags 30 inch (Black)</t>
  </si>
  <si>
    <t>Glucometer  (Freee style)</t>
  </si>
  <si>
    <t>Glucose Strips  Free style  50's</t>
  </si>
  <si>
    <t>Pen Torch, Battery Operated</t>
  </si>
  <si>
    <t>Pulse Oximeter, Battery operated</t>
  </si>
  <si>
    <t>Sphygmomanometer, Anaeroid, 300mm Hg. With adult cuff</t>
  </si>
  <si>
    <t xml:space="preserve">Unigold HIV 1/2 </t>
  </si>
  <si>
    <t>Sector</t>
  </si>
  <si>
    <t>AAR Health Care Acacia - Private Clinic</t>
  </si>
  <si>
    <t xml:space="preserve">Kampala </t>
  </si>
  <si>
    <t>CA0023</t>
  </si>
  <si>
    <t>Adjumani Mission HC III</t>
  </si>
  <si>
    <t xml:space="preserve">Adjumani </t>
  </si>
  <si>
    <t>CA0006</t>
  </si>
  <si>
    <t>Agiermach HC III</t>
  </si>
  <si>
    <t xml:space="preserve">Zombo </t>
  </si>
  <si>
    <t>CA0012</t>
  </si>
  <si>
    <t>AIDS Information Centre - Arua</t>
  </si>
  <si>
    <t xml:space="preserve">Arua </t>
  </si>
  <si>
    <t>CF0005</t>
  </si>
  <si>
    <t>AIDS Information Centre - Kampala</t>
  </si>
  <si>
    <t>CA0024</t>
  </si>
  <si>
    <t>AIDS Information Centre - Soroti</t>
  </si>
  <si>
    <t xml:space="preserve">Soroti </t>
  </si>
  <si>
    <t>CA0025</t>
  </si>
  <si>
    <t>Alive Medical Services</t>
  </si>
  <si>
    <t>CA0003</t>
  </si>
  <si>
    <t>Amucu HC III</t>
  </si>
  <si>
    <t xml:space="preserve">Amuria </t>
  </si>
  <si>
    <t>CA0007</t>
  </si>
  <si>
    <t>Angal St. Luke Hospital</t>
  </si>
  <si>
    <t xml:space="preserve">Nebbi </t>
  </si>
  <si>
    <t>CA0005</t>
  </si>
  <si>
    <t>Anyiribu HC III</t>
  </si>
  <si>
    <t>CA0009</t>
  </si>
  <si>
    <t>Archbishop Joseph Cabana - Ssunga HC III</t>
  </si>
  <si>
    <t xml:space="preserve">Masaka </t>
  </si>
  <si>
    <t>CS0076</t>
  </si>
  <si>
    <t>Archbishop Kiwanuka, Mayirye</t>
  </si>
  <si>
    <t xml:space="preserve">Mityana </t>
  </si>
  <si>
    <t>CA0010</t>
  </si>
  <si>
    <t>Aripea HC III</t>
  </si>
  <si>
    <t>CA0008</t>
  </si>
  <si>
    <t>Azur HC IV</t>
  </si>
  <si>
    <t xml:space="preserve">Hoima </t>
  </si>
  <si>
    <t>CA0004</t>
  </si>
  <si>
    <t>Hoima</t>
  </si>
  <si>
    <t>Bamu Hospital</t>
  </si>
  <si>
    <t xml:space="preserve">Sembabule </t>
  </si>
  <si>
    <t>CB0054</t>
  </si>
  <si>
    <t>Bank Of Uganda Clinic - Private Clinic</t>
  </si>
  <si>
    <t>CB0055</t>
  </si>
  <si>
    <t>Benedict Medical Centre</t>
  </si>
  <si>
    <t>CB0007</t>
  </si>
  <si>
    <t>Bishop Asili Kasana</t>
  </si>
  <si>
    <t xml:space="preserve">Luwero </t>
  </si>
  <si>
    <t>CB0004</t>
  </si>
  <si>
    <t>Braakline Clinic - Private Clinic</t>
  </si>
  <si>
    <t>CB0056</t>
  </si>
  <si>
    <t>Bugema HC III</t>
  </si>
  <si>
    <t>CB0057</t>
  </si>
  <si>
    <t>Bugolobi Medical Centre - Private Clinic</t>
  </si>
  <si>
    <t>CB0058</t>
  </si>
  <si>
    <t>Buhaghura HC III</t>
  </si>
  <si>
    <t xml:space="preserve">Kasese </t>
  </si>
  <si>
    <t>CB0059</t>
  </si>
  <si>
    <t>Bujuko HC III</t>
  </si>
  <si>
    <t xml:space="preserve">Mpigi </t>
  </si>
  <si>
    <t>CB0011</t>
  </si>
  <si>
    <t>Bujumbura HC III</t>
  </si>
  <si>
    <t>CB0016</t>
  </si>
  <si>
    <t>Busaru HC III</t>
  </si>
  <si>
    <t xml:space="preserve">Bundibugyo </t>
  </si>
  <si>
    <t>CB0015</t>
  </si>
  <si>
    <t>Butende HC III</t>
  </si>
  <si>
    <t>CB0008</t>
  </si>
  <si>
    <t>Buyege HC III</t>
  </si>
  <si>
    <t>Wakiso</t>
  </si>
  <si>
    <t>CB0009</t>
  </si>
  <si>
    <t>Bweyogerere Medical Clinic- Dental &amp; Laboratory Services</t>
  </si>
  <si>
    <t>CB0060</t>
  </si>
  <si>
    <t>Case Medical Centre - Private Clinic</t>
  </si>
  <si>
    <t>CC0001</t>
  </si>
  <si>
    <t>Chandaria Medical Clinic - Private Clinic</t>
  </si>
  <si>
    <t>CC0005</t>
  </si>
  <si>
    <t>Community Health Centre Lugoba- Kawempe</t>
  </si>
  <si>
    <t>CC0006</t>
  </si>
  <si>
    <t>Crane Health Services - Private Clinic</t>
  </si>
  <si>
    <t>CC0007</t>
  </si>
  <si>
    <t>Doctors' Hospital Sseguku</t>
  </si>
  <si>
    <t>CD0004</t>
  </si>
  <si>
    <t>Donna Medical Centre - Private Clinic</t>
  </si>
  <si>
    <t>CD0005</t>
  </si>
  <si>
    <t>Double Cure Medical Centre - Private Clinic</t>
  </si>
  <si>
    <t>CD0006</t>
  </si>
  <si>
    <t>Dr. C. Farthing M. Clinic</t>
  </si>
  <si>
    <t>CN0003</t>
  </si>
  <si>
    <t>Dr. Ddamulira's Private Clinic</t>
  </si>
  <si>
    <t>CD0007</t>
  </si>
  <si>
    <t>Ebenezar SDA</t>
  </si>
  <si>
    <t>CE0002</t>
  </si>
  <si>
    <t>Ediofe HC III</t>
  </si>
  <si>
    <t>CE0003</t>
  </si>
  <si>
    <t>Emesco HC III</t>
  </si>
  <si>
    <t xml:space="preserve">Kibaale </t>
  </si>
  <si>
    <t>CE0001</t>
  </si>
  <si>
    <t>Emmanuel Medical Centre - Private Clinic</t>
  </si>
  <si>
    <t>CE0006</t>
  </si>
  <si>
    <t>Equator Health Care - Private Clinic</t>
  </si>
  <si>
    <t>CE0007</t>
  </si>
  <si>
    <t>Faith Mulira Health Care Centre - Private Clinic</t>
  </si>
  <si>
    <t>CF0006</t>
  </si>
  <si>
    <t>Family Care - Private Clinic</t>
  </si>
  <si>
    <t>CF0008</t>
  </si>
  <si>
    <t>CF0007</t>
  </si>
  <si>
    <t>Family Hope Center Kampala</t>
  </si>
  <si>
    <t>CF0002</t>
  </si>
  <si>
    <t>Fiduga Staff Clinic HC III</t>
  </si>
  <si>
    <t>CF0009</t>
  </si>
  <si>
    <t xml:space="preserve">Moyo </t>
  </si>
  <si>
    <t>CF0003</t>
  </si>
  <si>
    <t>Franciscan Kakooge HC IV</t>
  </si>
  <si>
    <t xml:space="preserve">Nakasongola </t>
  </si>
  <si>
    <t>CF0010</t>
  </si>
  <si>
    <t>CG0008</t>
  </si>
  <si>
    <t>Goli HC III</t>
  </si>
  <si>
    <t>CG0001</t>
  </si>
  <si>
    <t>Good Health For Women Initiative</t>
  </si>
  <si>
    <t>CG0002</t>
  </si>
  <si>
    <t>Good Samaritan, Katikamu Kisule</t>
  </si>
  <si>
    <t>CG0003</t>
  </si>
  <si>
    <t>CG0009</t>
  </si>
  <si>
    <t>Hassan Tourabi HC III</t>
  </si>
  <si>
    <t>CH0009</t>
  </si>
  <si>
    <t>Health Initiatives Africa HC II</t>
  </si>
  <si>
    <t xml:space="preserve">Buikwe </t>
  </si>
  <si>
    <t>CH0004</t>
  </si>
  <si>
    <t>Health Initiatives Association</t>
  </si>
  <si>
    <t>CH0006</t>
  </si>
  <si>
    <t>Henrob Medical Centre - Private Clinic</t>
  </si>
  <si>
    <t>CH0010</t>
  </si>
  <si>
    <t>Hima Cement Clinic - Private Clinic</t>
  </si>
  <si>
    <t>CH0011</t>
  </si>
  <si>
    <t>Holy Cross Kikyusa</t>
  </si>
  <si>
    <t>CH0003</t>
  </si>
  <si>
    <t>Holy Cross Orthodox Hospital</t>
  </si>
  <si>
    <t>CO0013</t>
  </si>
  <si>
    <t>Holy Family Hospital - Nyapea</t>
  </si>
  <si>
    <t>CN0042</t>
  </si>
  <si>
    <t>Holy Innocents HC III</t>
  </si>
  <si>
    <t xml:space="preserve">Bukedea </t>
  </si>
  <si>
    <t>CH0012</t>
  </si>
  <si>
    <t>Hope Again Medical Centre - Private Clinic</t>
  </si>
  <si>
    <t xml:space="preserve">Kyenjojo </t>
  </si>
  <si>
    <t>CH0013</t>
  </si>
  <si>
    <t>Hope Clinic Makindye</t>
  </si>
  <si>
    <t>CH0001</t>
  </si>
  <si>
    <t>Ikan Medical Centre HC III</t>
  </si>
  <si>
    <t>CI0012</t>
  </si>
  <si>
    <t>Infectious Disease Institute</t>
  </si>
  <si>
    <t>CI0001</t>
  </si>
  <si>
    <t>International Hospital Kampala</t>
  </si>
  <si>
    <t>CI0003</t>
  </si>
  <si>
    <t>International Medical Centre Park Royal - Private Clinic</t>
  </si>
  <si>
    <t>CI0013</t>
  </si>
  <si>
    <t>Iruhura HC III</t>
  </si>
  <si>
    <t xml:space="preserve">Kabarole </t>
  </si>
  <si>
    <t>CI0002</t>
  </si>
  <si>
    <t>J.O.Y Medical Center</t>
  </si>
  <si>
    <t>CJ0001</t>
  </si>
  <si>
    <t>Jjanda  HC III</t>
  </si>
  <si>
    <t>CJ0005</t>
  </si>
  <si>
    <t>Joint Clinical Resarch Centre</t>
  </si>
  <si>
    <t>CJ0006</t>
  </si>
  <si>
    <t>Jumbo Corner Medical Clinic</t>
  </si>
  <si>
    <t>CJ0010</t>
  </si>
  <si>
    <t>Kabalega Medical Centre</t>
  </si>
  <si>
    <t>CK0119</t>
  </si>
  <si>
    <t>Kabarole Hospital</t>
  </si>
  <si>
    <t>CK0001</t>
  </si>
  <si>
    <t xml:space="preserve">Kaberamaido </t>
  </si>
  <si>
    <t>Kabogwe HC II</t>
  </si>
  <si>
    <t xml:space="preserve">Nakaseke </t>
  </si>
  <si>
    <t>CK0120</t>
  </si>
  <si>
    <t>Kabubbu HC III</t>
  </si>
  <si>
    <t>CK0015</t>
  </si>
  <si>
    <t xml:space="preserve">Kalungu </t>
  </si>
  <si>
    <t>Kachumbala  Mission HC III</t>
  </si>
  <si>
    <t>CK0016</t>
  </si>
  <si>
    <t xml:space="preserve">Kumi </t>
  </si>
  <si>
    <t>Kadic Clinic Nakulabye - Private Clinic</t>
  </si>
  <si>
    <t>CK0121</t>
  </si>
  <si>
    <t>Kagando Hospital</t>
  </si>
  <si>
    <t>CK0011</t>
  </si>
  <si>
    <t>Kairos Medical Centre</t>
  </si>
  <si>
    <t>CK0122</t>
  </si>
  <si>
    <t>Kakasi Church of Uganda HC III</t>
  </si>
  <si>
    <t xml:space="preserve">Kamwenge </t>
  </si>
  <si>
    <t>CK0123</t>
  </si>
  <si>
    <t>CK0035</t>
  </si>
  <si>
    <t>Kalungi Church of Uganda HC III</t>
  </si>
  <si>
    <t>CK0124</t>
  </si>
  <si>
    <t>Kambaala HC III</t>
  </si>
  <si>
    <t>CK0018</t>
  </si>
  <si>
    <t>Kampala Family Clinic - Private Clinic</t>
  </si>
  <si>
    <t>CK0125</t>
  </si>
  <si>
    <t>Kampala Medical Chambers - Private Clinic</t>
  </si>
  <si>
    <t>CK0127</t>
  </si>
  <si>
    <t>Kamwokya Christian Caring Community</t>
  </si>
  <si>
    <t>CK0003</t>
  </si>
  <si>
    <t>Kanamba</t>
  </si>
  <si>
    <t>CM0051</t>
  </si>
  <si>
    <t>Kasanga Primary Health Care Centre</t>
  </si>
  <si>
    <t>CK0004</t>
  </si>
  <si>
    <t>Kasese Community Health &amp; Education Foundation</t>
  </si>
  <si>
    <t>CB0005</t>
  </si>
  <si>
    <t>Katadoba HC III</t>
  </si>
  <si>
    <t>CK0027</t>
  </si>
  <si>
    <t>Katimba HCIII</t>
  </si>
  <si>
    <t>CK0033</t>
  </si>
  <si>
    <t>Katulikire HC III</t>
  </si>
  <si>
    <t xml:space="preserve">Kiryandongo </t>
  </si>
  <si>
    <t>CK0036</t>
  </si>
  <si>
    <t>Kawempe Home Care Initiative</t>
  </si>
  <si>
    <t>CK0012</t>
  </si>
  <si>
    <t>Kei HC III</t>
  </si>
  <si>
    <t xml:space="preserve">Yumbe </t>
  </si>
  <si>
    <t>CK0021</t>
  </si>
  <si>
    <t>Kibanga HC III</t>
  </si>
  <si>
    <t>CK0128</t>
  </si>
  <si>
    <t>Kibibi Nursing Home</t>
  </si>
  <si>
    <t xml:space="preserve">Butambala </t>
  </si>
  <si>
    <t>CK0032</t>
  </si>
  <si>
    <t>Kibuli Muslim Hospital</t>
  </si>
  <si>
    <t>CK0129</t>
  </si>
  <si>
    <t>Kida Hospital</t>
  </si>
  <si>
    <t>CK0007</t>
  </si>
  <si>
    <t>Kidetok HC III</t>
  </si>
  <si>
    <t xml:space="preserve">Serere </t>
  </si>
  <si>
    <t>CK0022</t>
  </si>
  <si>
    <t>Kiko James Finlays HC III</t>
  </si>
  <si>
    <t>CK0026</t>
  </si>
  <si>
    <t>Kilembe Mines Hospital</t>
  </si>
  <si>
    <t>CK0010</t>
  </si>
  <si>
    <t>Kim's Medical Centre - Private Clinic</t>
  </si>
  <si>
    <t>CK0130</t>
  </si>
  <si>
    <t>Kimwanyi HC III</t>
  </si>
  <si>
    <t xml:space="preserve">Lwengo </t>
  </si>
  <si>
    <t>CK0131</t>
  </si>
  <si>
    <t>Kinawataka Special Clinic</t>
  </si>
  <si>
    <t>CK0034</t>
  </si>
  <si>
    <t>Kinyabwamba HC III</t>
  </si>
  <si>
    <t>CK0028</t>
  </si>
  <si>
    <t>Kinyamaseke HC III</t>
  </si>
  <si>
    <t>CK0039</t>
  </si>
  <si>
    <t xml:space="preserve">Masindi </t>
  </si>
  <si>
    <t>CK0132</t>
  </si>
  <si>
    <t>Kinyarugonjo HC III</t>
  </si>
  <si>
    <t xml:space="preserve">Kagadi </t>
  </si>
  <si>
    <t>CK0041</t>
  </si>
  <si>
    <t>Kireka SDA HC III</t>
  </si>
  <si>
    <t>CK0133</t>
  </si>
  <si>
    <t>Kirema HC III</t>
  </si>
  <si>
    <t>CK0044</t>
  </si>
  <si>
    <t>Kisubi Hospital</t>
  </si>
  <si>
    <t>CK0008</t>
  </si>
  <si>
    <t>Kitabu St. Francis</t>
  </si>
  <si>
    <t>CK0029</t>
  </si>
  <si>
    <t>Kitante Medical Centre - Private Clinic</t>
  </si>
  <si>
    <t>CK0134</t>
  </si>
  <si>
    <t>Kitovu Hospital</t>
  </si>
  <si>
    <t>CK0013</t>
  </si>
  <si>
    <t>Kitovu Mobile AIDS Org.</t>
  </si>
  <si>
    <t>CK0043</t>
  </si>
  <si>
    <t>Kiwoko Hospital</t>
  </si>
  <si>
    <t>CK0099</t>
  </si>
  <si>
    <t>Koboko Mission HC III</t>
  </si>
  <si>
    <t xml:space="preserve">Koboko </t>
  </si>
  <si>
    <t>CK0017</t>
  </si>
  <si>
    <t>CK0136</t>
  </si>
  <si>
    <t>Kuluva Hospital</t>
  </si>
  <si>
    <t>CK0105</t>
  </si>
  <si>
    <t>Kumi Hospital</t>
  </si>
  <si>
    <t>CK0106</t>
  </si>
  <si>
    <t>Kyadondo Medical Centre - Private Clinic</t>
  </si>
  <si>
    <t>CK0116</t>
  </si>
  <si>
    <t>Kyakatara HC III</t>
  </si>
  <si>
    <t>CK0025</t>
  </si>
  <si>
    <t>Kyakuterekera HCIII</t>
  </si>
  <si>
    <t>CK0138</t>
  </si>
  <si>
    <t>Kyamaganda HC III</t>
  </si>
  <si>
    <t>CK0135</t>
  </si>
  <si>
    <t>Kyanya SDA</t>
  </si>
  <si>
    <t>CM0052</t>
  </si>
  <si>
    <t>Kyarumba PHC</t>
  </si>
  <si>
    <t>CK0030</t>
  </si>
  <si>
    <t>Kyembogo HC III</t>
  </si>
  <si>
    <t>CK0024</t>
  </si>
  <si>
    <t>Kyere Mission HC III</t>
  </si>
  <si>
    <t>CK0042</t>
  </si>
  <si>
    <t>Kyotera Medical Centre - Private Clinic</t>
  </si>
  <si>
    <t xml:space="preserve">Kyotera </t>
  </si>
  <si>
    <t>CK0137</t>
  </si>
  <si>
    <t>Lambu HC III</t>
  </si>
  <si>
    <t>CL0012</t>
  </si>
  <si>
    <t>Life Link Medical Centre Ntinda - Private Clinic</t>
  </si>
  <si>
    <t>CL0020</t>
  </si>
  <si>
    <t>Lodongo HC III</t>
  </si>
  <si>
    <t>CM0013</t>
  </si>
  <si>
    <t>Lubaga Hospital</t>
  </si>
  <si>
    <t>CL0001</t>
  </si>
  <si>
    <t>Lufuka Valley HC III</t>
  </si>
  <si>
    <t>CL0006</t>
  </si>
  <si>
    <t>Lulagala HC III</t>
  </si>
  <si>
    <t>CL0005</t>
  </si>
  <si>
    <t>Lusanja HC II</t>
  </si>
  <si>
    <t>CL0021</t>
  </si>
  <si>
    <t>Luwero Industries Limited HC III</t>
  </si>
  <si>
    <t>CL0015</t>
  </si>
  <si>
    <t>Lwala</t>
  </si>
  <si>
    <t>CL0002</t>
  </si>
  <si>
    <t>Lwebitakuli HC III</t>
  </si>
  <si>
    <t>CL0007</t>
  </si>
  <si>
    <t>Lyantonde Muslim HC III</t>
  </si>
  <si>
    <t xml:space="preserve">Lyantonde </t>
  </si>
  <si>
    <t>CL0019</t>
  </si>
  <si>
    <t>Mabale Tea Estate - Private Clinic</t>
  </si>
  <si>
    <t>CM0085</t>
  </si>
  <si>
    <t>Mabira St. Martin HC III</t>
  </si>
  <si>
    <t>CM0018</t>
  </si>
  <si>
    <t>Makonge HC III</t>
  </si>
  <si>
    <t>CM0010</t>
  </si>
  <si>
    <t>Maliba HC III</t>
  </si>
  <si>
    <t>CM0019</t>
  </si>
  <si>
    <t>Maracha Hospital</t>
  </si>
  <si>
    <t xml:space="preserve">Maracha </t>
  </si>
  <si>
    <t>CM0003</t>
  </si>
  <si>
    <t>Maria Assumpta HC III</t>
  </si>
  <si>
    <t>CM0086</t>
  </si>
  <si>
    <t>MARPI Clinic</t>
  </si>
  <si>
    <t>CM0054</t>
  </si>
  <si>
    <t>Maryland HC III</t>
  </si>
  <si>
    <t>CM0011</t>
  </si>
  <si>
    <t>Medical Research Council
(Entebbe)</t>
  </si>
  <si>
    <t>CM0027</t>
  </si>
  <si>
    <t>Meeting Point Kampala Clinic</t>
  </si>
  <si>
    <t>CM0087</t>
  </si>
  <si>
    <t>Mengo Hospital</t>
  </si>
  <si>
    <t>CM0068</t>
  </si>
  <si>
    <t>Midas Touch Medical Services</t>
  </si>
  <si>
    <t>CM0049</t>
  </si>
  <si>
    <t>Mildmay Hospital</t>
  </si>
  <si>
    <t>CM0007</t>
  </si>
  <si>
    <t>CM0089</t>
  </si>
  <si>
    <t>Mirembe Medical Centre HC III</t>
  </si>
  <si>
    <t>CM0088</t>
  </si>
  <si>
    <t>Mitala Maria HC III</t>
  </si>
  <si>
    <t>CM0015</t>
  </si>
  <si>
    <t>Mitandi HC III</t>
  </si>
  <si>
    <t xml:space="preserve">Bunyangabu </t>
  </si>
  <si>
    <t>CM0020</t>
  </si>
  <si>
    <t>Moyo Mission HC III</t>
  </si>
  <si>
    <t>CM0008</t>
  </si>
  <si>
    <t>MRC Kyamulibwa</t>
  </si>
  <si>
    <t>CM0005</t>
  </si>
  <si>
    <t>Muhorro HC III</t>
  </si>
  <si>
    <t>CM0025</t>
  </si>
  <si>
    <t>MUJHU Research Centre</t>
  </si>
  <si>
    <t>CM0055</t>
  </si>
  <si>
    <t>Mukisa Nursing Home - Private Clinic</t>
  </si>
  <si>
    <t>CM0090</t>
  </si>
  <si>
    <t>Mukwano Medical Services Private Clininc</t>
  </si>
  <si>
    <t>CM0091</t>
  </si>
  <si>
    <t>Mukwaya General Hospital - Private Clinic</t>
  </si>
  <si>
    <t>CM0092</t>
  </si>
  <si>
    <t>Mulago ISS Clinic</t>
  </si>
  <si>
    <t>CM0009</t>
  </si>
  <si>
    <t>Mulago PIDC</t>
  </si>
  <si>
    <t>CM0002</t>
  </si>
  <si>
    <t>Munobwa Hiima Tea Factory - Private Clinic</t>
  </si>
  <si>
    <t>CM0093</t>
  </si>
  <si>
    <t>Musyenene HC III</t>
  </si>
  <si>
    <t>CM0023</t>
  </si>
  <si>
    <t>Muzizi Clinic- McLeod Russel Uganda Limited</t>
  </si>
  <si>
    <t>CM0094</t>
  </si>
  <si>
    <t>Mwenge Estate - James Finlay</t>
  </si>
  <si>
    <t>CM0017</t>
  </si>
  <si>
    <t>Nabwendo HC III</t>
  </si>
  <si>
    <t xml:space="preserve">Kiboga </t>
  </si>
  <si>
    <t>CN0021</t>
  </si>
  <si>
    <t>Nakatonya HC III</t>
  </si>
  <si>
    <t>CN0002</t>
  </si>
  <si>
    <t>Nampunge Church of Uganda</t>
  </si>
  <si>
    <t>CN0010</t>
  </si>
  <si>
    <t>Namugongo Fund For Special Children</t>
  </si>
  <si>
    <t>CN0006</t>
  </si>
  <si>
    <t>Namusale HC II</t>
  </si>
  <si>
    <t>CN0040</t>
  </si>
  <si>
    <t>Namutamba HC III</t>
  </si>
  <si>
    <t>CN0014</t>
  </si>
  <si>
    <t>Ndejje UniversityHC III</t>
  </si>
  <si>
    <t>CN0004</t>
  </si>
  <si>
    <t>Ngora (Freda Carr)</t>
  </si>
  <si>
    <t xml:space="preserve">Ngora </t>
  </si>
  <si>
    <t>CN0008</t>
  </si>
  <si>
    <t>Nkokonjeru Hospital</t>
  </si>
  <si>
    <t>CN0007</t>
  </si>
  <si>
    <t>CN0041</t>
  </si>
  <si>
    <t>Nkozi Hospital</t>
  </si>
  <si>
    <t>CN0001</t>
  </si>
  <si>
    <t>CN0022</t>
  </si>
  <si>
    <t>Nsambya Home Care</t>
  </si>
  <si>
    <t>CN0009</t>
  </si>
  <si>
    <t>Nsambya Hospital</t>
  </si>
  <si>
    <t>CN0020</t>
  </si>
  <si>
    <t>Nswanjere HC III</t>
  </si>
  <si>
    <t>CN0015</t>
  </si>
  <si>
    <t>Nurture Africa, Nansana</t>
  </si>
  <si>
    <t>CN0011</t>
  </si>
  <si>
    <t>Nyabugando HC III</t>
  </si>
  <si>
    <t>CN0018</t>
  </si>
  <si>
    <t>Nyenga Hospital</t>
  </si>
  <si>
    <t>CS0009</t>
  </si>
  <si>
    <t>Old Kampala Hospital - UMSC</t>
  </si>
  <si>
    <t>CO0012</t>
  </si>
  <si>
    <t>Olimai HC III</t>
  </si>
  <si>
    <t>CO0005</t>
  </si>
  <si>
    <t>Ongutoi HC III</t>
  </si>
  <si>
    <t>CO0002</t>
  </si>
  <si>
    <t>Oriajini Hospital</t>
  </si>
  <si>
    <t>CO0003</t>
  </si>
  <si>
    <t>Orussi HC III</t>
  </si>
  <si>
    <t>CO0006</t>
  </si>
  <si>
    <t>Otumbari HC III</t>
  </si>
  <si>
    <t>CO0004</t>
  </si>
  <si>
    <t>Our Lady of Lourdes</t>
  </si>
  <si>
    <t>CN0012</t>
  </si>
  <si>
    <t>Padre Pio HC III</t>
  </si>
  <si>
    <t>CP0004</t>
  </si>
  <si>
    <t>Padwot Midyere HC III</t>
  </si>
  <si>
    <t>CP0005</t>
  </si>
  <si>
    <t>Pakadha HC III</t>
  </si>
  <si>
    <t>CP0009</t>
  </si>
  <si>
    <t>Pakwach Mission HC III</t>
  </si>
  <si>
    <t xml:space="preserve">Pakwach </t>
  </si>
  <si>
    <t>CP0007</t>
  </si>
  <si>
    <t>Paragon Hospital - Private Clinic</t>
  </si>
  <si>
    <t>CP0017</t>
  </si>
  <si>
    <t>Philomena Health Care Clinic - Private Clinic</t>
  </si>
  <si>
    <t>CP0019</t>
  </si>
  <si>
    <t>Pioneer Hospital</t>
  </si>
  <si>
    <t>CP0020</t>
  </si>
  <si>
    <t>Prime Care Medical Centre - Private Clinic</t>
  </si>
  <si>
    <t>CP0021</t>
  </si>
  <si>
    <t>Quadra Medical Centre - Bulaga HC III</t>
  </si>
  <si>
    <t>CQ0001</t>
  </si>
  <si>
    <t>Rakai Health Science Program</t>
  </si>
  <si>
    <t>CR0002</t>
  </si>
  <si>
    <t>Rambia HC III</t>
  </si>
  <si>
    <t>CR0015</t>
  </si>
  <si>
    <t>Rapha Medical - Private Clinic</t>
  </si>
  <si>
    <t xml:space="preserve">Gomba </t>
  </si>
  <si>
    <t>CR0030</t>
  </si>
  <si>
    <t>Reach Out, Mbuya</t>
  </si>
  <si>
    <t>CR0001</t>
  </si>
  <si>
    <t>Reachout,Banda</t>
  </si>
  <si>
    <t>CR0008</t>
  </si>
  <si>
    <t>Rift Valley Medical Centre Private Clinic</t>
  </si>
  <si>
    <t>CR0031</t>
  </si>
  <si>
    <t>Robidire HC III</t>
  </si>
  <si>
    <t>CR0010</t>
  </si>
  <si>
    <t>Royal Health Care Kawempe - Private Clinic</t>
  </si>
  <si>
    <t>CR0032</t>
  </si>
  <si>
    <t>Rwenzori Mountaineering Services (RMS)</t>
  </si>
  <si>
    <t>CM0053</t>
  </si>
  <si>
    <t>Rwesande HC IV</t>
  </si>
  <si>
    <t>CR0003</t>
  </si>
  <si>
    <t>Saidina Abubaker Islamic, Kampala Hospital</t>
  </si>
  <si>
    <t>CS0063</t>
  </si>
  <si>
    <t>Santa Maria Medicare  - Private Clinic</t>
  </si>
  <si>
    <t>CS0068</t>
  </si>
  <si>
    <t>SAREC Medicare Centre - Private Clinic</t>
  </si>
  <si>
    <t>CS0069</t>
  </si>
  <si>
    <t>SAS Foundation Early Intervention Clinic - Private Clinic</t>
  </si>
  <si>
    <t>CS0070</t>
  </si>
  <si>
    <t>CS0071</t>
  </si>
  <si>
    <t>SIMS Medical Centre - Private Clinic</t>
  </si>
  <si>
    <t>CS0072</t>
  </si>
  <si>
    <t>Soroti Medical Associates Nursing Home</t>
  </si>
  <si>
    <t>CS0073</t>
  </si>
  <si>
    <t>Span Medicare - Private Clinic</t>
  </si>
  <si>
    <t>CS0074</t>
  </si>
  <si>
    <t>Springs Medical Centre Bukoto HC II</t>
  </si>
  <si>
    <t>CS0075</t>
  </si>
  <si>
    <t>CS0087</t>
  </si>
  <si>
    <t>St. Adolf Butiiti HC III</t>
  </si>
  <si>
    <t>CS0018</t>
  </si>
  <si>
    <t>St. Ambrose Charity</t>
  </si>
  <si>
    <t>CS0033</t>
  </si>
  <si>
    <t>St. Andrew Bikira HC III</t>
  </si>
  <si>
    <t>CS0023</t>
  </si>
  <si>
    <t>St. Ann Usuk</t>
  </si>
  <si>
    <t xml:space="preserve">Katakwi </t>
  </si>
  <si>
    <t>CS0042</t>
  </si>
  <si>
    <t>St. Anthony, Bukalagi</t>
  </si>
  <si>
    <t>CS0051</t>
  </si>
  <si>
    <t>St. Balikudembe HC III</t>
  </si>
  <si>
    <t xml:space="preserve">Kyankwanzi </t>
  </si>
  <si>
    <t>CS0022</t>
  </si>
  <si>
    <t>St. Balikudembe Market Clinic</t>
  </si>
  <si>
    <t>CS0077</t>
  </si>
  <si>
    <t>St. Bernard Manya</t>
  </si>
  <si>
    <t xml:space="preserve">Rakai </t>
  </si>
  <si>
    <t>CS0030</t>
  </si>
  <si>
    <t>St. Catherine Hospital - Private Clinic</t>
  </si>
  <si>
    <t>CS0078</t>
  </si>
  <si>
    <t>St. Charles Lwanga</t>
  </si>
  <si>
    <t>CS0014</t>
  </si>
  <si>
    <t>St. Clare Orungo</t>
  </si>
  <si>
    <t>CS0001</t>
  </si>
  <si>
    <t>St. Elizabeth Kijjukizo HC III</t>
  </si>
  <si>
    <t>CS0079</t>
  </si>
  <si>
    <t>St. Francis Acumet</t>
  </si>
  <si>
    <t>CS0040</t>
  </si>
  <si>
    <t>St. Francis Hosfa</t>
  </si>
  <si>
    <t>CS0012</t>
  </si>
  <si>
    <t>St. Francis Mbirizi HC III</t>
  </si>
  <si>
    <t>CS0080</t>
  </si>
  <si>
    <t>St. Francis Ocodri</t>
  </si>
  <si>
    <t>CS0050</t>
  </si>
  <si>
    <t>St. Francis, Migyera</t>
  </si>
  <si>
    <t>CS0017</t>
  </si>
  <si>
    <t>St. Francis, Naggalama</t>
  </si>
  <si>
    <t xml:space="preserve">Mukono </t>
  </si>
  <si>
    <t>CS0044</t>
  </si>
  <si>
    <t>St. Gabriel, Mirembe Maria</t>
  </si>
  <si>
    <t xml:space="preserve">Mubende </t>
  </si>
  <si>
    <t>CS0003</t>
  </si>
  <si>
    <t>St. George, Makukuulu</t>
  </si>
  <si>
    <t xml:space="preserve">Bukomansimbi </t>
  </si>
  <si>
    <t>CS0004</t>
  </si>
  <si>
    <t>St. Jacinta Zigoti</t>
  </si>
  <si>
    <t>CS0036</t>
  </si>
  <si>
    <t>St. Joseph Kyamulibwa</t>
  </si>
  <si>
    <t>CK0009</t>
  </si>
  <si>
    <t>St. Joseph Madudu</t>
  </si>
  <si>
    <t>CS0057</t>
  </si>
  <si>
    <t>St. Joseph's Clinic - Wandegeya Private Clinic</t>
  </si>
  <si>
    <t>CS0081</t>
  </si>
  <si>
    <t>St. Joseph's Kawempe Private Clinic</t>
  </si>
  <si>
    <t>CS0082</t>
  </si>
  <si>
    <t>St. Jude Thaddeus, Karungu</t>
  </si>
  <si>
    <t>CS0035</t>
  </si>
  <si>
    <t>St. Jude Ulepi</t>
  </si>
  <si>
    <t>CS0020</t>
  </si>
  <si>
    <t>St. Kevin (Toroma)</t>
  </si>
  <si>
    <t>CS0046</t>
  </si>
  <si>
    <t>St. Kizito,Natyole</t>
  </si>
  <si>
    <t>CS0021</t>
  </si>
  <si>
    <t>St. Luke Bujuni</t>
  </si>
  <si>
    <t>CS0052</t>
  </si>
  <si>
    <t>St. Luke Katiyi</t>
  </si>
  <si>
    <t>CS0005</t>
  </si>
  <si>
    <t>St. Luke Kiyinda</t>
  </si>
  <si>
    <t>CS0056</t>
  </si>
  <si>
    <t>St. Luke Namaliga HC III</t>
  </si>
  <si>
    <t>CS0083</t>
  </si>
  <si>
    <t>CS0084</t>
  </si>
  <si>
    <t>St. Mary's Kasaala</t>
  </si>
  <si>
    <t>CS0007</t>
  </si>
  <si>
    <t>CS0055</t>
  </si>
  <si>
    <t>St. Mary's Medical Services - Private Clinic</t>
  </si>
  <si>
    <t>CS0085</t>
  </si>
  <si>
    <t>St. Mary's, Kigumba</t>
  </si>
  <si>
    <t>CS0027</t>
  </si>
  <si>
    <t>St. Matia Mulumba</t>
  </si>
  <si>
    <t>CS0029</t>
  </si>
  <si>
    <t>St. Metchtilda, Kitaasa</t>
  </si>
  <si>
    <t>CK0031</t>
  </si>
  <si>
    <t>St. Michael Wera</t>
  </si>
  <si>
    <t>CS0028</t>
  </si>
  <si>
    <t>St. Monica Katende</t>
  </si>
  <si>
    <t>CS0011</t>
  </si>
  <si>
    <t>St. Padre Pio, Busunju</t>
  </si>
  <si>
    <t>CP0003</t>
  </si>
  <si>
    <t>St. Paul HC IV</t>
  </si>
  <si>
    <t>CS0008</t>
  </si>
  <si>
    <t>St. Stephen’s Hospital, Mpererwe</t>
  </si>
  <si>
    <t>CS0013</t>
  </si>
  <si>
    <t>St. Stephen's Dispensary and Maternity Centre - Luzira Private Clinic</t>
  </si>
  <si>
    <t>CS0086</t>
  </si>
  <si>
    <t>St. Theresa Lisieux Rwibale</t>
  </si>
  <si>
    <t>CS0019</t>
  </si>
  <si>
    <t>St. Theresa Wekomiire</t>
  </si>
  <si>
    <t xml:space="preserve">Kyegegwa </t>
  </si>
  <si>
    <t>CS0041</t>
  </si>
  <si>
    <t>CS0049</t>
  </si>
  <si>
    <t>St. Yoanna Maria Muzeeyi, Buyoga</t>
  </si>
  <si>
    <t>CS0054</t>
  </si>
  <si>
    <t>Stella Maris HC III</t>
  </si>
  <si>
    <t xml:space="preserve">Ntoroko </t>
  </si>
  <si>
    <t>CS0034</t>
  </si>
  <si>
    <t>Taqwa Community Based</t>
  </si>
  <si>
    <t>CT0002</t>
  </si>
  <si>
    <t>TASO Entebbe</t>
  </si>
  <si>
    <t>CT0001</t>
  </si>
  <si>
    <t>TASO Masaka</t>
  </si>
  <si>
    <t>CT0010</t>
  </si>
  <si>
    <t>TASO Masindi</t>
  </si>
  <si>
    <t>CT0008</t>
  </si>
  <si>
    <t>TASO Mulago</t>
  </si>
  <si>
    <t>CT0013</t>
  </si>
  <si>
    <t>TASO Soroti</t>
  </si>
  <si>
    <t>CT0005</t>
  </si>
  <si>
    <t>Teso Safe Motherhood</t>
  </si>
  <si>
    <t>CT0014</t>
  </si>
  <si>
    <t>The Peoples' Medical Centre - Kassanda</t>
  </si>
  <si>
    <t>CP0018</t>
  </si>
  <si>
    <t>CT0016</t>
  </si>
  <si>
    <t>TOUCH Namuwongo Project Special Clinic</t>
  </si>
  <si>
    <t>CT0017</t>
  </si>
  <si>
    <t>Triam Medical Services - Nansana Private Clinic</t>
  </si>
  <si>
    <t>CT0018</t>
  </si>
  <si>
    <t>Tropical Clinic HC III</t>
  </si>
  <si>
    <t>CT0019</t>
  </si>
  <si>
    <t>Uganda Cares Kalungu Special Clinic</t>
  </si>
  <si>
    <t>CU0011</t>
  </si>
  <si>
    <t>Uganda Martyrs Namugongo</t>
  </si>
  <si>
    <t>CU0007</t>
  </si>
  <si>
    <t>UMSC Mityana</t>
  </si>
  <si>
    <t>CU0006</t>
  </si>
  <si>
    <t>Victoria Medical Centre - Private Centre</t>
  </si>
  <si>
    <t>CV0003</t>
  </si>
  <si>
    <t>Victoria University Medical Centre - Private Clinic</t>
  </si>
  <si>
    <t>CV0004</t>
  </si>
  <si>
    <t>Villa Maria</t>
  </si>
  <si>
    <t>CV0001</t>
  </si>
  <si>
    <t>Virgo Health Care - Kabalagala</t>
  </si>
  <si>
    <t>CV0005</t>
  </si>
  <si>
    <t>Virika Hospital</t>
  </si>
  <si>
    <t>CV0002</t>
  </si>
  <si>
    <t>Wagagai HC IV</t>
  </si>
  <si>
    <t>CW0005</t>
  </si>
  <si>
    <t>Well Springs HC III</t>
  </si>
  <si>
    <t>CW0002</t>
  </si>
  <si>
    <t>Yerya  HC III</t>
  </si>
  <si>
    <t>CY0001</t>
  </si>
  <si>
    <t>Zia Angelina HC III</t>
  </si>
  <si>
    <t>CZ0002</t>
  </si>
  <si>
    <t>Zumbo HC III</t>
  </si>
  <si>
    <t>CZ0001</t>
  </si>
  <si>
    <t>Facility</t>
  </si>
  <si>
    <t>SAP_Code</t>
  </si>
  <si>
    <t>Code</t>
  </si>
  <si>
    <t>CPHL</t>
  </si>
  <si>
    <t>CC0002</t>
  </si>
  <si>
    <t>Department of Defence</t>
  </si>
  <si>
    <t>CD0002</t>
  </si>
  <si>
    <t>Galilee Community General Hospital</t>
  </si>
  <si>
    <t>Kawaala Health Centre Health Centre III</t>
  </si>
  <si>
    <t>CK0075</t>
  </si>
  <si>
    <t>Kisenyi Health Centre IV</t>
  </si>
  <si>
    <t>CK0089</t>
  </si>
  <si>
    <t>Kololo Hospital</t>
  </si>
  <si>
    <t>MAUL</t>
  </si>
  <si>
    <t>CM0001</t>
  </si>
  <si>
    <t>Ministry of Health</t>
  </si>
  <si>
    <t>CM0057</t>
  </si>
  <si>
    <t>Mirembe Medical Centre - Najja</t>
  </si>
  <si>
    <t>MJAP</t>
  </si>
  <si>
    <t>CM0012</t>
  </si>
  <si>
    <t>Operations Department</t>
  </si>
  <si>
    <t>CO0007</t>
  </si>
  <si>
    <t>SAS Foundation Uganda</t>
  </si>
  <si>
    <t>CAS001</t>
  </si>
  <si>
    <t>Sem Medical Centre HC II</t>
  </si>
  <si>
    <t>TASO Uganda</t>
  </si>
  <si>
    <t>IP0006</t>
  </si>
  <si>
    <t>United Nations High Commission for Refugees</t>
  </si>
  <si>
    <t>CU0010</t>
  </si>
  <si>
    <t>Nebbi</t>
  </si>
  <si>
    <t>Arua REGIONAL REF Hospital</t>
  </si>
  <si>
    <t>CA0021</t>
  </si>
  <si>
    <t>Fr. Bilbao</t>
  </si>
  <si>
    <t>Kali HC III</t>
  </si>
  <si>
    <t>Kinyara Sugar Limited</t>
  </si>
  <si>
    <t>Kinyara Sugar Works</t>
  </si>
  <si>
    <t>River Oli Health Centre IV</t>
  </si>
  <si>
    <t>CR0018</t>
  </si>
  <si>
    <t>St Asumputa HC III</t>
  </si>
  <si>
    <t>St. Martin HC III - Amakio</t>
  </si>
  <si>
    <t>Family Care Hospital</t>
  </si>
  <si>
    <t>Gwattiro Hospital</t>
  </si>
  <si>
    <t>Ndejje HC IV</t>
  </si>
  <si>
    <t>CN0039</t>
  </si>
  <si>
    <t>Mukono</t>
  </si>
  <si>
    <t>St. Joseph Hospital Wakiso</t>
  </si>
  <si>
    <t>CS0088</t>
  </si>
  <si>
    <t>Wakiso Health Centre IV</t>
  </si>
  <si>
    <t>CW004</t>
  </si>
  <si>
    <t>Kawolo Hospital</t>
  </si>
  <si>
    <t>CK0076</t>
  </si>
  <si>
    <t>Njeru T.C HC III</t>
  </si>
  <si>
    <t>CN0043</t>
  </si>
  <si>
    <t>Mityana</t>
  </si>
  <si>
    <t>Kibaale</t>
  </si>
  <si>
    <t>Kamwenge</t>
  </si>
  <si>
    <t>Kyabenda HC III</t>
  </si>
  <si>
    <t>CK0141</t>
  </si>
  <si>
    <t>Nkuruba  HC III</t>
  </si>
  <si>
    <t>St. Theresa Domiciliary Clinic</t>
  </si>
  <si>
    <t>Toro - Kahuna HC III</t>
  </si>
  <si>
    <t>Bukuku Health Centre IV</t>
  </si>
  <si>
    <t>CB0033</t>
  </si>
  <si>
    <t>Kagote HC III</t>
  </si>
  <si>
    <t>CK0054</t>
  </si>
  <si>
    <t>Kibiito HC IV</t>
  </si>
  <si>
    <t>CK0053</t>
  </si>
  <si>
    <t>Lyantonde</t>
  </si>
  <si>
    <t>Nkoni HC III</t>
  </si>
  <si>
    <t>Rakai</t>
  </si>
  <si>
    <t>St. Mary's Bukomasimbi</t>
  </si>
  <si>
    <t>Busaana Health Centre III</t>
  </si>
  <si>
    <t>Kayunga</t>
  </si>
  <si>
    <t>CB0041</t>
  </si>
  <si>
    <t>Buvuma HCIV</t>
  </si>
  <si>
    <t>CB0061</t>
  </si>
  <si>
    <t xml:space="preserve">Buvuma </t>
  </si>
  <si>
    <t>CUAMM</t>
  </si>
  <si>
    <t>CC0003</t>
  </si>
  <si>
    <t>USAID</t>
  </si>
  <si>
    <t>Galiraya Health Centre III</t>
  </si>
  <si>
    <t>CG0004</t>
  </si>
  <si>
    <t>HIWA</t>
  </si>
  <si>
    <t>CH0008</t>
  </si>
  <si>
    <t>Hoima REGIONAL REF Hospital</t>
  </si>
  <si>
    <t>CH0007</t>
  </si>
  <si>
    <t>Kalangala HC IV</t>
  </si>
  <si>
    <t>Kalangala</t>
  </si>
  <si>
    <t>CK0050</t>
  </si>
  <si>
    <t>Kamwenge HC III</t>
  </si>
  <si>
    <t>CK0139</t>
  </si>
  <si>
    <t>Kasensero HC III</t>
  </si>
  <si>
    <t>CK0051</t>
  </si>
  <si>
    <t>Kataraka HC IV</t>
  </si>
  <si>
    <t>CK0140</t>
  </si>
  <si>
    <t>Kayunga Hospital</t>
  </si>
  <si>
    <t>CK0077</t>
  </si>
  <si>
    <t>Kibaale Health Centre IV (Kibaale)</t>
  </si>
  <si>
    <t>CK0079</t>
  </si>
  <si>
    <t>Kojja HC IV</t>
  </si>
  <si>
    <t>CK0052</t>
  </si>
  <si>
    <t>Koome Health Centre III</t>
  </si>
  <si>
    <t>CK0103</t>
  </si>
  <si>
    <t>Lyantonde Hospital</t>
  </si>
  <si>
    <t>CL0010</t>
  </si>
  <si>
    <t>Mahyoro Gvt Health Centre III</t>
  </si>
  <si>
    <t>CM0059</t>
  </si>
  <si>
    <t>Makerere University Walter Reed Project</t>
  </si>
  <si>
    <t>CW0003</t>
  </si>
  <si>
    <t>Mukono HC IV</t>
  </si>
  <si>
    <t>CM0056</t>
  </si>
  <si>
    <t>Nebbi Hospital</t>
  </si>
  <si>
    <t>CN0033</t>
  </si>
  <si>
    <t>Nkata HC II</t>
  </si>
  <si>
    <t>CN0044</t>
  </si>
  <si>
    <t>Nyaravur HCIII</t>
  </si>
  <si>
    <t>CN0045</t>
  </si>
  <si>
    <t>Rakai Hospital</t>
  </si>
  <si>
    <t>CR0016</t>
  </si>
  <si>
    <t>RHITES Acholi</t>
  </si>
  <si>
    <t>CR0026</t>
  </si>
  <si>
    <t>RHITES E</t>
  </si>
  <si>
    <t>CR0012</t>
  </si>
  <si>
    <t>RHITES EC</t>
  </si>
  <si>
    <t>CR0014</t>
  </si>
  <si>
    <t>RHITES Lango</t>
  </si>
  <si>
    <t>CR0027</t>
  </si>
  <si>
    <t>RHITES SW</t>
  </si>
  <si>
    <t>CR0011</t>
  </si>
  <si>
    <t>RTI</t>
  </si>
  <si>
    <t>CR0028</t>
  </si>
  <si>
    <t>Rukunyu HC IV</t>
  </si>
  <si>
    <t>CR0021</t>
  </si>
  <si>
    <t>St.Noah Buyambi HC III</t>
  </si>
  <si>
    <t>CS0062</t>
  </si>
  <si>
    <t>Uganda Cares</t>
  </si>
  <si>
    <t>CU0004</t>
  </si>
  <si>
    <t>Baylor Uganda</t>
  </si>
  <si>
    <t>Fortportal</t>
  </si>
  <si>
    <t>CB0062</t>
  </si>
  <si>
    <t>HIV 1/2, Bioline kit with accessories</t>
  </si>
  <si>
    <t>Infectious Disease Institute- West Nile</t>
  </si>
  <si>
    <t>CI0014</t>
  </si>
  <si>
    <t>Infectious Disease Institute- Western</t>
  </si>
  <si>
    <t>CI0016</t>
  </si>
  <si>
    <t>Mwijukye Julius</t>
  </si>
  <si>
    <t>Manager, Medical Logistics &amp; Supply Chain System</t>
  </si>
  <si>
    <t>0782055766/0703618470</t>
  </si>
  <si>
    <t>Paul Tumbu</t>
  </si>
  <si>
    <t>Program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</si>
</sst>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_);\(&quot;$&quot;#,##0\)"/>
    <numFmt numFmtId="43" formatCode="_(* #,##0.00_);_(* \(#,##0.00\);_(* &quot;-&quot;??_);_(@_)"/>
    <numFmt numFmtId="164" formatCode="_-* #,##0.00_-;\-* #,##0.00_-;_-* &quot;-&quot;??_-;_-@_-"/>
    <numFmt numFmtId="165" formatCode="#,##0.0"/>
  </numFmts>
  <fonts count="18" x14ac:knownFonts="1">
    <font>
      <sz val="10"/>
      <name val="Arial"/>
    </font>
    <font>
      <sz val="11"/>
      <color theme="1"/>
      <name val="Calibri"/>
      <family val="2"/>
      <scheme val="minor"/>
    </font>
    <font>
      <b/>
      <sz val="16"/>
      <name val="Arial Narrow"/>
      <family val="2"/>
    </font>
    <font>
      <sz val="12"/>
      <name val="Arial Narrow"/>
      <family val="2"/>
    </font>
    <font>
      <b/>
      <sz val="12"/>
      <color theme="1"/>
      <name val="Arial Narrow"/>
      <family val="2"/>
    </font>
    <font>
      <b/>
      <sz val="12"/>
      <name val="Arial Narrow"/>
      <family val="2"/>
    </font>
    <font>
      <b/>
      <sz val="12"/>
      <color rgb="FF000000"/>
      <name val="Arial Narrow"/>
      <family val="2"/>
    </font>
    <font>
      <sz val="12"/>
      <name val="Arial"/>
      <family val="2"/>
    </font>
    <font>
      <b/>
      <sz val="10"/>
      <color rgb="FF000000"/>
      <name val="Arial Narrow"/>
      <family val="2"/>
    </font>
    <font>
      <sz val="10"/>
      <name val="Arial"/>
      <family val="2"/>
    </font>
    <font>
      <sz val="11"/>
      <color indexed="8"/>
      <name val="Calibri"/>
      <family val="2"/>
    </font>
    <font>
      <sz val="10"/>
      <name val="Arial"/>
      <family val="2"/>
    </font>
    <font>
      <b/>
      <sz val="12"/>
      <color rgb="FFC00000"/>
      <name val="Arial Narrow"/>
      <family val="2"/>
    </font>
    <font>
      <b/>
      <sz val="12"/>
      <color rgb="FF002060"/>
      <name val="Arial Narrow"/>
      <family val="2"/>
    </font>
    <font>
      <sz val="10"/>
      <color indexed="8"/>
      <name val="Arial"/>
      <family val="2"/>
    </font>
    <font>
      <b/>
      <sz val="9"/>
      <color theme="0"/>
      <name val="Corbel"/>
      <family val="2"/>
    </font>
    <font>
      <sz val="9"/>
      <color theme="1"/>
      <name val="Corbel"/>
      <family val="2"/>
    </font>
    <font>
      <b/>
      <sz val="10"/>
      <name val="Arial"/>
      <family val="2"/>
    </font>
  </fonts>
  <fills count="9">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9" tint="-0.249977111117893"/>
        <bgColor indexed="0"/>
      </patternFill>
    </fill>
  </fills>
  <borders count="58">
    <border>
      <left/>
      <right/>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rgb="FFFFC000"/>
      </left>
      <right style="thin">
        <color rgb="FFFFC000"/>
      </right>
      <top style="thin">
        <color rgb="FFFFC000"/>
      </top>
      <bottom style="thin">
        <color rgb="FFFFC000"/>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rgb="FFFFC000"/>
      </left>
      <right/>
      <top style="thin">
        <color rgb="FFFFC000"/>
      </top>
      <bottom style="thin">
        <color rgb="FFFFC000"/>
      </bottom>
      <diagonal/>
    </border>
    <border>
      <left/>
      <right style="thin">
        <color rgb="FFFFC000"/>
      </right>
      <top style="thin">
        <color rgb="FFFFC000"/>
      </top>
      <bottom style="thin">
        <color rgb="FFFFC000"/>
      </bottom>
      <diagonal/>
    </border>
    <border>
      <left/>
      <right/>
      <top style="thin">
        <color rgb="FFFFC000"/>
      </top>
      <bottom style="thin">
        <color rgb="FFFFC000"/>
      </bottom>
      <diagonal/>
    </border>
    <border>
      <left style="thin">
        <color rgb="FFFFC000"/>
      </left>
      <right/>
      <top style="thin">
        <color theme="9"/>
      </top>
      <bottom style="thin">
        <color indexed="64"/>
      </bottom>
      <diagonal/>
    </border>
    <border>
      <left/>
      <right/>
      <top style="thin">
        <color theme="9"/>
      </top>
      <bottom style="thin">
        <color indexed="64"/>
      </bottom>
      <diagonal/>
    </border>
    <border>
      <left style="thin">
        <color indexed="64"/>
      </left>
      <right/>
      <top style="medium">
        <color indexed="64"/>
      </top>
      <bottom style="thin">
        <color indexed="64"/>
      </bottom>
      <diagonal/>
    </border>
    <border>
      <left style="thin">
        <color rgb="FFFFC000"/>
      </left>
      <right/>
      <top style="thin">
        <color rgb="FFFFC000"/>
      </top>
      <bottom style="medium">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rgb="FFFFC000"/>
      </right>
      <top style="thin">
        <color rgb="FFFFC000"/>
      </top>
      <bottom style="thin">
        <color rgb="FFFFC000"/>
      </bottom>
      <diagonal/>
    </border>
    <border>
      <left style="thin">
        <color rgb="FFFFC000"/>
      </left>
      <right style="medium">
        <color indexed="64"/>
      </right>
      <top style="thin">
        <color rgb="FFFFC000"/>
      </top>
      <bottom style="thin">
        <color rgb="FFFFC000"/>
      </bottom>
      <diagonal/>
    </border>
    <border>
      <left style="thin">
        <color rgb="FFFFC000"/>
      </left>
      <right style="thin">
        <color rgb="FFFFC000"/>
      </right>
      <top style="thin">
        <color rgb="FFFFC000"/>
      </top>
      <bottom style="medium">
        <color indexed="64"/>
      </bottom>
      <diagonal/>
    </border>
    <border>
      <left style="thin">
        <color rgb="FFFFC000"/>
      </left>
      <right style="medium">
        <color indexed="64"/>
      </right>
      <top style="thin">
        <color rgb="FFFFC000"/>
      </top>
      <bottom style="medium">
        <color indexed="64"/>
      </bottom>
      <diagonal/>
    </border>
    <border>
      <left style="medium">
        <color indexed="64"/>
      </left>
      <right/>
      <top style="medium">
        <color indexed="64"/>
      </top>
      <bottom style="thin">
        <color rgb="FFFFC000"/>
      </bottom>
      <diagonal/>
    </border>
    <border>
      <left/>
      <right/>
      <top style="medium">
        <color indexed="64"/>
      </top>
      <bottom style="thin">
        <color rgb="FFFFC000"/>
      </bottom>
      <diagonal/>
    </border>
    <border>
      <left style="medium">
        <color indexed="64"/>
      </left>
      <right/>
      <top style="thin">
        <color rgb="FFFFC000"/>
      </top>
      <bottom style="thin">
        <color rgb="FFFFC000"/>
      </bottom>
      <diagonal/>
    </border>
    <border>
      <left/>
      <right style="medium">
        <color indexed="64"/>
      </right>
      <top style="thin">
        <color theme="9"/>
      </top>
      <bottom style="thin">
        <color indexed="64"/>
      </bottom>
      <diagonal/>
    </border>
    <border>
      <left style="medium">
        <color indexed="64"/>
      </left>
      <right/>
      <top style="thin">
        <color rgb="FFFFC000"/>
      </top>
      <bottom style="medium">
        <color indexed="64"/>
      </bottom>
      <diagonal/>
    </border>
    <border>
      <left/>
      <right/>
      <top style="thin">
        <color rgb="FFFFC000"/>
      </top>
      <bottom style="medium">
        <color indexed="64"/>
      </bottom>
      <diagonal/>
    </border>
    <border>
      <left/>
      <right style="thin">
        <color rgb="FFFFC000"/>
      </right>
      <top style="thin">
        <color rgb="FFFFC000"/>
      </top>
      <bottom style="medium">
        <color indexed="64"/>
      </bottom>
      <diagonal/>
    </border>
    <border>
      <left/>
      <right/>
      <top style="thin">
        <color indexed="64"/>
      </top>
      <bottom style="thin">
        <color rgb="FFFFC000"/>
      </bottom>
      <diagonal/>
    </border>
    <border>
      <left/>
      <right style="medium">
        <color indexed="64"/>
      </right>
      <top style="thin">
        <color indexed="64"/>
      </top>
      <bottom style="thin">
        <color rgb="FFFFC000"/>
      </bottom>
      <diagonal/>
    </border>
    <border>
      <left/>
      <right style="medium">
        <color indexed="64"/>
      </right>
      <top style="thin">
        <color rgb="FFFFC000"/>
      </top>
      <bottom style="thin">
        <color rgb="FFFFC000"/>
      </bottom>
      <diagonal/>
    </border>
    <border>
      <left/>
      <right style="medium">
        <color indexed="64"/>
      </right>
      <top style="thin">
        <color rgb="FFFFC000"/>
      </top>
      <bottom style="medium">
        <color indexed="64"/>
      </bottom>
      <diagonal/>
    </border>
    <border>
      <left/>
      <right style="thin">
        <color rgb="FFFFC000"/>
      </right>
      <top style="thin">
        <color theme="9"/>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right style="medium">
        <color indexed="64"/>
      </right>
      <top style="medium">
        <color indexed="64"/>
      </top>
      <bottom style="thin">
        <color rgb="FFFFC000"/>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thin">
        <color rgb="FFFFC000"/>
      </left>
      <right style="thin">
        <color rgb="FFFFC000"/>
      </right>
      <top style="thin">
        <color rgb="FFFFC000"/>
      </top>
      <bottom/>
      <diagonal/>
    </border>
    <border>
      <left style="thin">
        <color rgb="FFFFC000"/>
      </left>
      <right/>
      <top style="thin">
        <color rgb="FFFFC000"/>
      </top>
      <bottom/>
      <diagonal/>
    </border>
    <border>
      <left style="thin">
        <color rgb="FFFFC000"/>
      </left>
      <right style="medium">
        <color indexed="64"/>
      </right>
      <top style="thin">
        <color rgb="FFFFC000"/>
      </top>
      <bottom/>
      <diagonal/>
    </border>
    <border>
      <left style="medium">
        <color indexed="64"/>
      </left>
      <right/>
      <top style="thin">
        <color indexed="64"/>
      </top>
      <bottom style="thin">
        <color indexed="64"/>
      </bottom>
      <diagonal/>
    </border>
    <border>
      <left style="thin">
        <color rgb="FFFFC000"/>
      </left>
      <right style="thin">
        <color rgb="FFFFC000"/>
      </right>
      <top style="thin">
        <color indexed="64"/>
      </top>
      <bottom style="thin">
        <color indexed="64"/>
      </bottom>
      <diagonal/>
    </border>
    <border>
      <left style="thin">
        <color rgb="FFFFC000"/>
      </left>
      <right/>
      <top style="thin">
        <color indexed="64"/>
      </top>
      <bottom style="thin">
        <color indexed="64"/>
      </bottom>
      <diagonal/>
    </border>
    <border>
      <left style="medium">
        <color indexed="64"/>
      </left>
      <right style="thin">
        <color rgb="FFFFC000"/>
      </right>
      <top style="thin">
        <color indexed="64"/>
      </top>
      <bottom style="thin">
        <color indexed="64"/>
      </bottom>
      <diagonal/>
    </border>
    <border>
      <left style="thin">
        <color rgb="FFFFC000"/>
      </left>
      <right style="medium">
        <color indexed="64"/>
      </right>
      <top style="thin">
        <color rgb="FFFFC000"/>
      </top>
      <bottom style="thin">
        <color indexed="64"/>
      </bottom>
      <diagonal/>
    </border>
    <border>
      <left style="thin">
        <color rgb="FFFFC000"/>
      </left>
      <right/>
      <top/>
      <bottom style="thin">
        <color indexed="64"/>
      </bottom>
      <diagonal/>
    </border>
    <border>
      <left style="thin">
        <color rgb="FFFFC000"/>
      </left>
      <right style="thin">
        <color rgb="FFFFC000"/>
      </right>
      <top style="thin">
        <color rgb="FFFFC000"/>
      </top>
      <bottom style="thin">
        <color indexed="64"/>
      </bottom>
      <diagonal/>
    </border>
    <border>
      <left style="thin">
        <color rgb="FFFFC000"/>
      </left>
      <right/>
      <top style="thin">
        <color rgb="FFFFC000"/>
      </top>
      <bottom style="thin">
        <color indexed="64"/>
      </bottom>
      <diagonal/>
    </border>
    <border>
      <left style="thin">
        <color rgb="FFFFC000"/>
      </left>
      <right style="thin">
        <color rgb="FFFFC000"/>
      </right>
      <top/>
      <bottom/>
      <diagonal/>
    </border>
    <border>
      <left style="thin">
        <color rgb="FFFFC000"/>
      </left>
      <right/>
      <top/>
      <bottom/>
      <diagonal/>
    </border>
    <border>
      <left style="thin">
        <color rgb="FFFFC000"/>
      </left>
      <right style="thin">
        <color rgb="FFFFC000"/>
      </right>
      <top/>
      <bottom style="thin">
        <color rgb="FFFFC000"/>
      </bottom>
      <diagonal/>
    </border>
    <border>
      <left style="thin">
        <color rgb="FFFFC000"/>
      </left>
      <right style="medium">
        <color indexed="64"/>
      </right>
      <top/>
      <bottom style="thin">
        <color rgb="FFFFC000"/>
      </bottom>
      <diagonal/>
    </border>
    <border>
      <left/>
      <right/>
      <top/>
      <bottom style="medium">
        <color indexed="64"/>
      </bottom>
      <diagonal/>
    </border>
    <border>
      <left style="thin">
        <color rgb="FFFFC000"/>
      </left>
      <right/>
      <top/>
      <bottom style="thin">
        <color rgb="FFFFC000"/>
      </bottom>
      <diagonal/>
    </border>
    <border>
      <left style="thin">
        <color theme="9" tint="-0.249977111117893"/>
      </left>
      <right style="thin">
        <color theme="9" tint="-0.249977111117893"/>
      </right>
      <top style="thin">
        <color theme="9" tint="-0.249977111117893"/>
      </top>
      <bottom style="thin">
        <color theme="9" tint="-0.249977111117893"/>
      </bottom>
      <diagonal/>
    </border>
  </borders>
  <cellStyleXfs count="381">
    <xf numFmtId="0" fontId="0" fillId="0" borderId="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10" fillId="0" borderId="0" applyFont="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5" fontId="9" fillId="0" borderId="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11" fillId="0" borderId="0" applyFont="0" applyFill="0" applyBorder="0" applyAlignment="0" applyProtection="0"/>
    <xf numFmtId="0" fontId="14" fillId="0" borderId="0"/>
    <xf numFmtId="0" fontId="1" fillId="0" borderId="0"/>
  </cellStyleXfs>
  <cellXfs count="134">
    <xf numFmtId="0" fontId="0" fillId="0" borderId="0" xfId="0"/>
    <xf numFmtId="0" fontId="3" fillId="0" borderId="0" xfId="0" applyFont="1"/>
    <xf numFmtId="0" fontId="3" fillId="2" borderId="0" xfId="0" applyFont="1" applyFill="1" applyAlignment="1">
      <alignment horizontal="center"/>
    </xf>
    <xf numFmtId="0" fontId="4" fillId="2" borderId="0" xfId="0" applyFont="1" applyFill="1" applyAlignment="1">
      <alignment horizontal="left" indent="12"/>
    </xf>
    <xf numFmtId="37" fontId="6" fillId="0" borderId="5" xfId="0" applyNumberFormat="1" applyFont="1" applyBorder="1" applyAlignment="1" applyProtection="1">
      <alignment horizontal="center" vertical="center"/>
      <protection hidden="1"/>
    </xf>
    <xf numFmtId="37" fontId="6" fillId="4" borderId="5" xfId="0" applyNumberFormat="1" applyFont="1" applyFill="1" applyBorder="1" applyAlignment="1" applyProtection="1">
      <alignment horizontal="center" vertical="center"/>
      <protection hidden="1"/>
    </xf>
    <xf numFmtId="37" fontId="6" fillId="0" borderId="5" xfId="0" applyNumberFormat="1" applyFont="1" applyBorder="1" applyAlignment="1" applyProtection="1">
      <alignment horizontal="left" vertical="center"/>
      <protection hidden="1"/>
    </xf>
    <xf numFmtId="0" fontId="7" fillId="0" borderId="0" xfId="0" applyFont="1"/>
    <xf numFmtId="0" fontId="3" fillId="0" borderId="0" xfId="0" applyFont="1" applyAlignment="1">
      <alignment horizontal="center" vertical="center" wrapText="1"/>
    </xf>
    <xf numFmtId="3" fontId="5" fillId="0" borderId="0" xfId="0" applyNumberFormat="1" applyFont="1" applyAlignment="1">
      <alignment vertical="center" wrapText="1"/>
    </xf>
    <xf numFmtId="0" fontId="3" fillId="2" borderId="0" xfId="0" applyFont="1" applyFill="1"/>
    <xf numFmtId="0" fontId="3" fillId="0" borderId="0" xfId="0" applyFont="1" applyAlignment="1">
      <alignment horizontal="center"/>
    </xf>
    <xf numFmtId="0" fontId="5" fillId="0" borderId="0" xfId="0" applyFont="1"/>
    <xf numFmtId="37" fontId="6" fillId="0" borderId="8" xfId="0" applyNumberFormat="1" applyFont="1" applyBorder="1" applyAlignment="1" applyProtection="1">
      <alignment horizontal="left" vertical="center"/>
      <protection hidden="1"/>
    </xf>
    <xf numFmtId="0" fontId="6" fillId="0" borderId="5" xfId="0" applyFont="1" applyBorder="1" applyAlignment="1" applyProtection="1">
      <alignment horizontal="center" vertical="center"/>
      <protection hidden="1"/>
    </xf>
    <xf numFmtId="0" fontId="7" fillId="0" borderId="0" xfId="378" applyNumberFormat="1" applyFont="1"/>
    <xf numFmtId="0" fontId="3" fillId="0" borderId="0" xfId="378" applyNumberFormat="1" applyFont="1" applyAlignment="1">
      <alignment horizontal="center"/>
    </xf>
    <xf numFmtId="37" fontId="6" fillId="0" borderId="17" xfId="0" applyNumberFormat="1" applyFont="1" applyBorder="1" applyAlignment="1" applyProtection="1">
      <alignment horizontal="center" vertical="center"/>
      <protection hidden="1"/>
    </xf>
    <xf numFmtId="37" fontId="6" fillId="0" borderId="18" xfId="0" applyNumberFormat="1" applyFont="1" applyBorder="1" applyAlignment="1" applyProtection="1">
      <alignment horizontal="left" vertical="center"/>
      <protection hidden="1"/>
    </xf>
    <xf numFmtId="0" fontId="6" fillId="0" borderId="19" xfId="0" applyFont="1" applyBorder="1" applyAlignment="1" applyProtection="1">
      <alignment horizontal="center" vertical="center"/>
      <protection hidden="1"/>
    </xf>
    <xf numFmtId="37" fontId="6" fillId="4" borderId="19" xfId="0" applyNumberFormat="1" applyFont="1" applyFill="1" applyBorder="1" applyAlignment="1" applyProtection="1">
      <alignment horizontal="center" vertical="center"/>
      <protection hidden="1"/>
    </xf>
    <xf numFmtId="37" fontId="6" fillId="4" borderId="21" xfId="0" applyNumberFormat="1" applyFont="1" applyFill="1" applyBorder="1" applyAlignment="1" applyProtection="1">
      <alignment vertical="center"/>
      <protection hidden="1"/>
    </xf>
    <xf numFmtId="37" fontId="6" fillId="4" borderId="23" xfId="0" applyNumberFormat="1" applyFont="1" applyFill="1" applyBorder="1" applyAlignment="1" applyProtection="1">
      <alignment horizontal="left" vertical="center"/>
      <protection hidden="1"/>
    </xf>
    <xf numFmtId="37" fontId="6" fillId="0" borderId="25" xfId="0" applyNumberFormat="1" applyFont="1" applyBorder="1" applyAlignment="1" applyProtection="1">
      <alignment horizontal="left" vertical="center"/>
      <protection hidden="1"/>
    </xf>
    <xf numFmtId="37" fontId="6" fillId="0" borderId="19" xfId="0" applyNumberFormat="1" applyFont="1" applyBorder="1" applyAlignment="1" applyProtection="1">
      <alignment horizontal="left" vertical="center"/>
      <protection hidden="1"/>
    </xf>
    <xf numFmtId="37" fontId="6" fillId="5" borderId="5" xfId="0" applyNumberFormat="1" applyFont="1" applyFill="1" applyBorder="1" applyAlignment="1" applyProtection="1">
      <alignment horizontal="center" vertical="center"/>
      <protection hidden="1"/>
    </xf>
    <xf numFmtId="0" fontId="4" fillId="2" borderId="0" xfId="0" applyFont="1" applyFill="1" applyAlignment="1">
      <alignment horizontal="left" indent="1"/>
    </xf>
    <xf numFmtId="37" fontId="6" fillId="0" borderId="23" xfId="0" applyNumberFormat="1" applyFont="1" applyBorder="1" applyAlignment="1" applyProtection="1">
      <alignment horizontal="left" vertical="center"/>
      <protection hidden="1"/>
    </xf>
    <xf numFmtId="37" fontId="6" fillId="0" borderId="9" xfId="0" applyNumberFormat="1" applyFont="1" applyBorder="1" applyAlignment="1" applyProtection="1">
      <alignment horizontal="left" vertical="center"/>
      <protection hidden="1"/>
    </xf>
    <xf numFmtId="0" fontId="2" fillId="2" borderId="0" xfId="0" applyFont="1" applyFill="1" applyAlignment="1" applyProtection="1">
      <alignment horizontal="center" vertical="center"/>
      <protection hidden="1"/>
    </xf>
    <xf numFmtId="0" fontId="2" fillId="2" borderId="0" xfId="0" applyFont="1" applyFill="1" applyAlignment="1" applyProtection="1">
      <alignment horizontal="left" vertical="center"/>
      <protection hidden="1"/>
    </xf>
    <xf numFmtId="0" fontId="4" fillId="2" borderId="0" xfId="0" applyFont="1" applyFill="1" applyAlignment="1" applyProtection="1">
      <alignment horizontal="left" vertical="top"/>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left" vertical="center"/>
      <protection hidden="1"/>
    </xf>
    <xf numFmtId="37" fontId="6" fillId="4" borderId="22" xfId="0" applyNumberFormat="1" applyFont="1" applyFill="1" applyBorder="1" applyAlignment="1" applyProtection="1">
      <alignment horizontal="center" vertical="center"/>
      <protection hidden="1"/>
    </xf>
    <xf numFmtId="37" fontId="6" fillId="0" borderId="27" xfId="0" applyNumberFormat="1" applyFont="1" applyBorder="1" applyAlignment="1" applyProtection="1">
      <alignment horizontal="left" vertical="center"/>
      <protection hidden="1"/>
    </xf>
    <xf numFmtId="37" fontId="6" fillId="4" borderId="35" xfId="0" applyNumberFormat="1" applyFont="1" applyFill="1" applyBorder="1" applyAlignment="1" applyProtection="1">
      <alignment vertical="center"/>
      <protection hidden="1"/>
    </xf>
    <xf numFmtId="37" fontId="6" fillId="4" borderId="36" xfId="0" applyNumberFormat="1" applyFont="1" applyFill="1" applyBorder="1" applyAlignment="1" applyProtection="1">
      <alignment horizontal="center" vertical="center"/>
      <protection hidden="1"/>
    </xf>
    <xf numFmtId="37" fontId="6" fillId="4" borderId="37" xfId="0" applyNumberFormat="1" applyFont="1" applyFill="1" applyBorder="1" applyAlignment="1" applyProtection="1">
      <alignment horizontal="center" vertical="center"/>
      <protection hidden="1"/>
    </xf>
    <xf numFmtId="37" fontId="6" fillId="0" borderId="34" xfId="0" applyNumberFormat="1" applyFont="1" applyBorder="1" applyAlignment="1" applyProtection="1">
      <alignment horizontal="left" vertical="center"/>
      <protection locked="0"/>
    </xf>
    <xf numFmtId="37" fontId="6" fillId="0" borderId="9" xfId="0" applyNumberFormat="1" applyFont="1" applyBorder="1" applyAlignment="1" applyProtection="1">
      <alignment horizontal="left" vertical="center"/>
      <protection locked="0"/>
    </xf>
    <xf numFmtId="37" fontId="6" fillId="0" borderId="27" xfId="0" applyNumberFormat="1" applyFont="1" applyBorder="1" applyAlignment="1" applyProtection="1">
      <alignment horizontal="left" vertical="center"/>
      <protection locked="0"/>
    </xf>
    <xf numFmtId="37" fontId="12" fillId="0" borderId="5" xfId="0" applyNumberFormat="1" applyFont="1" applyBorder="1" applyAlignment="1" applyProtection="1">
      <alignment horizontal="center" vertical="center"/>
      <protection locked="0"/>
    </xf>
    <xf numFmtId="37" fontId="5" fillId="0" borderId="18" xfId="0" applyNumberFormat="1" applyFont="1" applyBorder="1" applyAlignment="1" applyProtection="1">
      <alignment horizontal="left" vertical="center"/>
      <protection locked="0"/>
    </xf>
    <xf numFmtId="0" fontId="4" fillId="2" borderId="0" xfId="0" applyFont="1" applyFill="1" applyAlignment="1" applyProtection="1">
      <alignment horizontal="left" vertical="top" wrapText="1"/>
      <protection hidden="1"/>
    </xf>
    <xf numFmtId="0" fontId="6" fillId="0" borderId="40" xfId="0" applyFont="1" applyBorder="1" applyAlignment="1" applyProtection="1">
      <alignment horizontal="center" vertical="center"/>
      <protection hidden="1"/>
    </xf>
    <xf numFmtId="37" fontId="6" fillId="0" borderId="41" xfId="0" applyNumberFormat="1" applyFont="1" applyBorder="1" applyAlignment="1" applyProtection="1">
      <alignment horizontal="left" vertical="center"/>
      <protection hidden="1"/>
    </xf>
    <xf numFmtId="37" fontId="6" fillId="4" borderId="40" xfId="0" applyNumberFormat="1" applyFont="1" applyFill="1" applyBorder="1" applyAlignment="1" applyProtection="1">
      <alignment horizontal="center" vertical="center"/>
      <protection hidden="1"/>
    </xf>
    <xf numFmtId="37" fontId="6" fillId="0" borderId="6" xfId="0" applyNumberFormat="1" applyFont="1" applyBorder="1" applyAlignment="1" applyProtection="1">
      <alignment horizontal="left" vertical="center"/>
      <protection hidden="1"/>
    </xf>
    <xf numFmtId="0" fontId="6" fillId="0" borderId="44" xfId="378" applyNumberFormat="1" applyFont="1" applyBorder="1" applyAlignment="1" applyProtection="1">
      <alignment horizontal="center" vertical="center"/>
      <protection hidden="1"/>
    </xf>
    <xf numFmtId="0" fontId="6" fillId="0" borderId="49" xfId="0" applyFont="1" applyBorder="1" applyAlignment="1" applyProtection="1">
      <alignment horizontal="center" vertical="center"/>
      <protection hidden="1"/>
    </xf>
    <xf numFmtId="37" fontId="6" fillId="0" borderId="50" xfId="0" applyNumberFormat="1" applyFont="1" applyBorder="1" applyAlignment="1" applyProtection="1">
      <alignment horizontal="left" vertical="center"/>
      <protection hidden="1"/>
    </xf>
    <xf numFmtId="37" fontId="6" fillId="4" borderId="49" xfId="0" applyNumberFormat="1" applyFont="1" applyFill="1" applyBorder="1" applyAlignment="1" applyProtection="1">
      <alignment horizontal="center" vertical="center"/>
      <protection hidden="1"/>
    </xf>
    <xf numFmtId="0" fontId="6" fillId="0" borderId="51" xfId="0" applyFont="1" applyBorder="1" applyAlignment="1" applyProtection="1">
      <alignment horizontal="center" vertical="center"/>
      <protection hidden="1"/>
    </xf>
    <xf numFmtId="37" fontId="6" fillId="0" borderId="52" xfId="0" applyNumberFormat="1" applyFont="1" applyBorder="1" applyAlignment="1" applyProtection="1">
      <alignment horizontal="left" vertical="center"/>
      <protection hidden="1"/>
    </xf>
    <xf numFmtId="37" fontId="6" fillId="4" borderId="51" xfId="0" applyNumberFormat="1" applyFont="1" applyFill="1" applyBorder="1" applyAlignment="1" applyProtection="1">
      <alignment horizontal="center" vertical="center"/>
      <protection hidden="1"/>
    </xf>
    <xf numFmtId="37" fontId="6" fillId="4" borderId="53" xfId="0" applyNumberFormat="1" applyFont="1" applyFill="1" applyBorder="1" applyAlignment="1" applyProtection="1">
      <alignment horizontal="center" vertical="center"/>
      <protection hidden="1"/>
    </xf>
    <xf numFmtId="0" fontId="4" fillId="2" borderId="0" xfId="0" applyFont="1" applyFill="1" applyAlignment="1">
      <alignment vertical="center" wrapText="1"/>
    </xf>
    <xf numFmtId="14" fontId="12" fillId="2" borderId="15" xfId="0" applyNumberFormat="1" applyFont="1" applyFill="1" applyBorder="1" applyAlignment="1" applyProtection="1">
      <alignment vertical="center" wrapText="1"/>
      <protection locked="0"/>
    </xf>
    <xf numFmtId="14" fontId="12" fillId="2" borderId="6" xfId="0" applyNumberFormat="1" applyFont="1" applyFill="1" applyBorder="1" applyAlignment="1" applyProtection="1">
      <alignment vertical="center" wrapText="1"/>
      <protection locked="0"/>
    </xf>
    <xf numFmtId="14" fontId="13" fillId="2" borderId="6" xfId="0" applyNumberFormat="1" applyFont="1" applyFill="1" applyBorder="1" applyAlignment="1" applyProtection="1">
      <alignment vertical="center" wrapText="1"/>
      <protection locked="0"/>
    </xf>
    <xf numFmtId="0" fontId="4" fillId="2" borderId="55" xfId="0" applyFont="1" applyFill="1" applyBorder="1" applyAlignment="1" applyProtection="1">
      <alignment vertical="top" wrapText="1"/>
      <protection hidden="1"/>
    </xf>
    <xf numFmtId="49" fontId="5" fillId="4" borderId="6" xfId="0" applyNumberFormat="1" applyFont="1" applyFill="1" applyBorder="1" applyAlignment="1">
      <alignment vertical="center" wrapText="1"/>
    </xf>
    <xf numFmtId="37" fontId="12" fillId="0" borderId="30" xfId="0" applyNumberFormat="1" applyFont="1" applyBorder="1" applyAlignment="1" applyProtection="1">
      <alignment vertical="center"/>
      <protection locked="0"/>
    </xf>
    <xf numFmtId="37" fontId="12" fillId="0" borderId="31" xfId="0" applyNumberFormat="1" applyFont="1" applyBorder="1" applyAlignment="1" applyProtection="1">
      <alignment vertical="center"/>
      <protection locked="0"/>
    </xf>
    <xf numFmtId="37" fontId="6" fillId="4" borderId="38" xfId="0" applyNumberFormat="1" applyFont="1" applyFill="1" applyBorder="1" applyAlignment="1" applyProtection="1">
      <alignment vertical="center"/>
      <protection hidden="1"/>
    </xf>
    <xf numFmtId="37" fontId="8" fillId="0" borderId="0" xfId="0" applyNumberFormat="1" applyFont="1" applyAlignment="1" applyProtection="1">
      <alignment vertical="center"/>
      <protection hidden="1"/>
    </xf>
    <xf numFmtId="37" fontId="5" fillId="0" borderId="8" xfId="0" applyNumberFormat="1" applyFont="1" applyBorder="1" applyAlignment="1" applyProtection="1">
      <alignment horizontal="left" vertical="center"/>
      <protection hidden="1"/>
    </xf>
    <xf numFmtId="37" fontId="5" fillId="0" borderId="5" xfId="0" applyNumberFormat="1" applyFont="1" applyBorder="1" applyAlignment="1" applyProtection="1">
      <alignment horizontal="left" vertical="center"/>
      <protection hidden="1"/>
    </xf>
    <xf numFmtId="0" fontId="6" fillId="6" borderId="5" xfId="0" applyFont="1" applyFill="1" applyBorder="1" applyAlignment="1" applyProtection="1">
      <alignment horizontal="center" vertical="center"/>
      <protection hidden="1"/>
    </xf>
    <xf numFmtId="0" fontId="6" fillId="0" borderId="53" xfId="0" applyFont="1" applyBorder="1" applyAlignment="1" applyProtection="1">
      <alignment horizontal="center" vertical="center"/>
      <protection hidden="1"/>
    </xf>
    <xf numFmtId="37" fontId="6" fillId="0" borderId="56" xfId="0" applyNumberFormat="1" applyFont="1" applyBorder="1" applyAlignment="1" applyProtection="1">
      <alignment horizontal="left" vertical="center"/>
      <protection hidden="1"/>
    </xf>
    <xf numFmtId="1" fontId="12" fillId="2" borderId="15" xfId="0" applyNumberFormat="1" applyFont="1" applyFill="1" applyBorder="1" applyAlignment="1" applyProtection="1">
      <alignment horizontal="left" vertical="center" wrapText="1"/>
      <protection locked="0"/>
    </xf>
    <xf numFmtId="37" fontId="6" fillId="7" borderId="17" xfId="0" applyNumberFormat="1" applyFont="1" applyFill="1" applyBorder="1" applyAlignment="1" applyProtection="1">
      <alignment horizontal="center" vertical="center"/>
      <protection hidden="1"/>
    </xf>
    <xf numFmtId="0" fontId="6" fillId="7" borderId="5" xfId="0" applyFont="1" applyFill="1" applyBorder="1" applyAlignment="1" applyProtection="1">
      <alignment horizontal="center" vertical="center"/>
      <protection hidden="1"/>
    </xf>
    <xf numFmtId="37" fontId="6" fillId="7" borderId="5" xfId="0" applyNumberFormat="1" applyFont="1" applyFill="1" applyBorder="1" applyAlignment="1" applyProtection="1">
      <alignment horizontal="left" vertical="center"/>
      <protection hidden="1"/>
    </xf>
    <xf numFmtId="0" fontId="15" fillId="8" borderId="57" xfId="379" applyFont="1" applyFill="1" applyBorder="1" applyAlignment="1">
      <alignment horizontal="left" wrapText="1"/>
    </xf>
    <xf numFmtId="0" fontId="1" fillId="0" borderId="0" xfId="380"/>
    <xf numFmtId="0" fontId="16" fillId="0" borderId="57" xfId="380" applyFont="1" applyBorder="1"/>
    <xf numFmtId="17" fontId="1" fillId="0" borderId="0" xfId="380" applyNumberFormat="1"/>
    <xf numFmtId="0" fontId="16" fillId="2" borderId="57" xfId="380" applyFont="1" applyFill="1" applyBorder="1"/>
    <xf numFmtId="0" fontId="12" fillId="2" borderId="0" xfId="0" applyFont="1" applyFill="1" applyAlignment="1">
      <alignment horizontal="left" vertical="center" wrapText="1"/>
    </xf>
    <xf numFmtId="49" fontId="5" fillId="4" borderId="7" xfId="0" applyNumberFormat="1" applyFont="1" applyFill="1" applyBorder="1" applyAlignment="1">
      <alignment horizontal="left" vertical="center" wrapText="1"/>
    </xf>
    <xf numFmtId="37" fontId="5" fillId="0" borderId="54" xfId="0" applyNumberFormat="1" applyFont="1" applyBorder="1" applyAlignment="1" applyProtection="1">
      <alignment horizontal="left" vertical="center"/>
      <protection locked="0"/>
    </xf>
    <xf numFmtId="37" fontId="5" fillId="0" borderId="42" xfId="0" applyNumberFormat="1" applyFont="1" applyBorder="1" applyAlignment="1" applyProtection="1">
      <alignment horizontal="left" vertical="center"/>
      <protection locked="0"/>
    </xf>
    <xf numFmtId="37" fontId="5" fillId="0" borderId="47" xfId="0" applyNumberFormat="1" applyFont="1" applyBorder="1" applyAlignment="1" applyProtection="1">
      <alignment horizontal="left" vertical="center"/>
      <protection locked="0"/>
    </xf>
    <xf numFmtId="37" fontId="5" fillId="0" borderId="20" xfId="0" applyNumberFormat="1" applyFont="1" applyBorder="1" applyAlignment="1" applyProtection="1">
      <alignment horizontal="left" vertical="center"/>
      <protection locked="0"/>
    </xf>
    <xf numFmtId="0" fontId="7" fillId="0" borderId="0" xfId="0" applyFont="1" applyAlignment="1">
      <alignment horizontal="left"/>
    </xf>
    <xf numFmtId="0" fontId="3" fillId="0" borderId="0" xfId="0" applyFont="1" applyAlignment="1">
      <alignment horizontal="left"/>
    </xf>
    <xf numFmtId="0" fontId="3" fillId="2" borderId="0" xfId="0" applyFont="1" applyFill="1" applyAlignment="1">
      <alignment horizontal="left"/>
    </xf>
    <xf numFmtId="0" fontId="5" fillId="0" borderId="0" xfId="0" applyFont="1" applyAlignment="1">
      <alignment horizontal="left"/>
    </xf>
    <xf numFmtId="14" fontId="12" fillId="2" borderId="15" xfId="0" applyNumberFormat="1" applyFont="1" applyFill="1" applyBorder="1" applyAlignment="1" applyProtection="1">
      <alignment horizontal="left" vertical="center" wrapText="1"/>
      <protection locked="0"/>
    </xf>
    <xf numFmtId="14" fontId="12" fillId="2" borderId="6" xfId="0" applyNumberFormat="1" applyFont="1" applyFill="1" applyBorder="1" applyAlignment="1" applyProtection="1">
      <alignment horizontal="left" vertical="center" wrapText="1"/>
      <protection locked="0"/>
    </xf>
    <xf numFmtId="0" fontId="12" fillId="2" borderId="15" xfId="0" applyFont="1" applyFill="1" applyBorder="1" applyAlignment="1" applyProtection="1">
      <alignment horizontal="left" vertical="center" wrapText="1"/>
      <protection locked="0"/>
    </xf>
    <xf numFmtId="14" fontId="12" fillId="0" borderId="0" xfId="0" applyNumberFormat="1" applyFont="1" applyAlignment="1" applyProtection="1">
      <alignment horizontal="left"/>
      <protection locked="0"/>
    </xf>
    <xf numFmtId="0" fontId="12" fillId="2" borderId="15" xfId="0" applyFont="1" applyFill="1" applyBorder="1" applyAlignment="1" applyProtection="1">
      <alignment horizontal="left" vertical="center" wrapText="1"/>
      <protection hidden="1"/>
    </xf>
    <xf numFmtId="37" fontId="6" fillId="4" borderId="5" xfId="0" applyNumberFormat="1" applyFont="1" applyFill="1" applyBorder="1" applyAlignment="1" applyProtection="1">
      <alignment horizontal="center" vertical="center"/>
      <protection locked="0"/>
    </xf>
    <xf numFmtId="49" fontId="5" fillId="3" borderId="16" xfId="0" applyNumberFormat="1" applyFont="1" applyFill="1" applyBorder="1" applyAlignment="1" applyProtection="1">
      <alignment horizontal="center" vertical="center" wrapText="1"/>
      <protection hidden="1"/>
    </xf>
    <xf numFmtId="0" fontId="5" fillId="3" borderId="1" xfId="378" applyNumberFormat="1" applyFont="1" applyFill="1" applyBorder="1" applyAlignment="1" applyProtection="1">
      <alignment horizontal="center" vertical="center" wrapText="1"/>
      <protection hidden="1"/>
    </xf>
    <xf numFmtId="0" fontId="5" fillId="3" borderId="13" xfId="0" applyFont="1" applyFill="1" applyBorder="1" applyAlignment="1" applyProtection="1">
      <alignment horizontal="left" vertical="center" wrapText="1"/>
      <protection hidden="1"/>
    </xf>
    <xf numFmtId="165" fontId="5" fillId="3" borderId="2" xfId="0" applyNumberFormat="1" applyFont="1" applyFill="1" applyBorder="1" applyAlignment="1" applyProtection="1">
      <alignment horizontal="center" vertical="center" wrapText="1"/>
      <protection hidden="1"/>
    </xf>
    <xf numFmtId="49" fontId="5" fillId="4" borderId="43" xfId="0" applyNumberFormat="1" applyFont="1" applyFill="1" applyBorder="1" applyAlignment="1" applyProtection="1">
      <alignment horizontal="center" vertical="center" wrapText="1"/>
      <protection hidden="1"/>
    </xf>
    <xf numFmtId="0" fontId="5" fillId="4" borderId="45" xfId="378" applyNumberFormat="1" applyFont="1" applyFill="1" applyBorder="1" applyAlignment="1" applyProtection="1">
      <alignment horizontal="center" vertical="center" wrapText="1"/>
      <protection hidden="1"/>
    </xf>
    <xf numFmtId="49" fontId="5" fillId="4" borderId="45" xfId="0" applyNumberFormat="1" applyFont="1" applyFill="1" applyBorder="1" applyAlignment="1" applyProtection="1">
      <alignment vertical="center" wrapText="1"/>
      <protection hidden="1"/>
    </xf>
    <xf numFmtId="49" fontId="5" fillId="4" borderId="6" xfId="0" applyNumberFormat="1" applyFont="1" applyFill="1" applyBorder="1" applyAlignment="1" applyProtection="1">
      <alignment vertical="center" wrapText="1"/>
      <protection hidden="1"/>
    </xf>
    <xf numFmtId="0" fontId="5" fillId="4" borderId="44" xfId="378" applyNumberFormat="1" applyFont="1" applyFill="1" applyBorder="1" applyAlignment="1" applyProtection="1">
      <alignment horizontal="center" vertical="center" wrapText="1"/>
      <protection hidden="1"/>
    </xf>
    <xf numFmtId="0" fontId="5" fillId="4" borderId="48" xfId="378" applyNumberFormat="1" applyFont="1" applyFill="1" applyBorder="1" applyAlignment="1" applyProtection="1">
      <alignment horizontal="center" vertical="center" wrapText="1"/>
      <protection hidden="1"/>
    </xf>
    <xf numFmtId="49" fontId="5" fillId="4" borderId="46" xfId="0" applyNumberFormat="1" applyFont="1" applyFill="1" applyBorder="1" applyAlignment="1" applyProtection="1">
      <alignment horizontal="center" vertical="center" wrapText="1"/>
      <protection hidden="1"/>
    </xf>
    <xf numFmtId="0" fontId="5" fillId="4" borderId="6" xfId="378" applyNumberFormat="1" applyFont="1" applyFill="1" applyBorder="1" applyAlignment="1" applyProtection="1">
      <alignment horizontal="center" vertical="center" wrapText="1"/>
      <protection hidden="1"/>
    </xf>
    <xf numFmtId="0" fontId="5" fillId="4" borderId="11" xfId="0" applyFont="1" applyFill="1" applyBorder="1" applyProtection="1">
      <protection hidden="1"/>
    </xf>
    <xf numFmtId="0" fontId="5" fillId="4" borderId="32" xfId="0" applyFont="1" applyFill="1" applyBorder="1" applyProtection="1">
      <protection hidden="1"/>
    </xf>
    <xf numFmtId="0" fontId="3" fillId="4" borderId="12" xfId="0" applyFont="1" applyFill="1" applyBorder="1" applyProtection="1">
      <protection hidden="1"/>
    </xf>
    <xf numFmtId="165" fontId="3" fillId="3" borderId="3" xfId="0" applyNumberFormat="1" applyFont="1" applyFill="1" applyBorder="1" applyAlignment="1" applyProtection="1">
      <alignment horizontal="center" vertical="center" wrapText="1"/>
      <protection hidden="1"/>
    </xf>
    <xf numFmtId="3" fontId="5" fillId="3" borderId="3" xfId="0" applyNumberFormat="1" applyFont="1" applyFill="1" applyBorder="1" applyAlignment="1" applyProtection="1">
      <alignment horizontal="center" vertical="center" wrapText="1"/>
      <protection hidden="1"/>
    </xf>
    <xf numFmtId="3" fontId="5" fillId="3" borderId="4" xfId="0" applyNumberFormat="1" applyFont="1" applyFill="1" applyBorder="1" applyAlignment="1" applyProtection="1">
      <alignment horizontal="left" vertical="center" wrapText="1"/>
      <protection hidden="1"/>
    </xf>
    <xf numFmtId="49" fontId="5" fillId="4" borderId="7" xfId="0" applyNumberFormat="1" applyFont="1" applyFill="1" applyBorder="1" applyAlignment="1" applyProtection="1">
      <alignment horizontal="left" vertical="center" wrapText="1"/>
      <protection hidden="1"/>
    </xf>
    <xf numFmtId="0" fontId="17" fillId="0" borderId="0" xfId="0" applyFont="1"/>
    <xf numFmtId="37" fontId="6" fillId="4" borderId="5" xfId="0" applyNumberFormat="1" applyFont="1" applyFill="1" applyBorder="1" applyAlignment="1" applyProtection="1">
      <alignment horizontal="center" vertical="center"/>
      <protection locked="0" hidden="1"/>
    </xf>
    <xf numFmtId="37" fontId="6" fillId="0" borderId="14" xfId="0" applyNumberFormat="1" applyFont="1" applyBorder="1" applyAlignment="1" applyProtection="1">
      <alignment horizontal="left" vertical="center"/>
      <protection locked="0"/>
    </xf>
    <xf numFmtId="37" fontId="6" fillId="0" borderId="33" xfId="0" applyNumberFormat="1" applyFont="1" applyBorder="1" applyAlignment="1" applyProtection="1">
      <alignment horizontal="left" vertical="center"/>
      <protection locked="0"/>
    </xf>
    <xf numFmtId="37" fontId="6" fillId="0" borderId="8" xfId="0" applyNumberFormat="1" applyFont="1" applyBorder="1" applyAlignment="1" applyProtection="1">
      <alignment horizontal="left" vertical="center"/>
      <protection locked="0"/>
    </xf>
    <xf numFmtId="37" fontId="6" fillId="0" borderId="14" xfId="0" applyNumberFormat="1" applyFont="1" applyBorder="1" applyAlignment="1" applyProtection="1">
      <alignment horizontal="left" vertical="center"/>
      <protection locked="0"/>
    </xf>
    <xf numFmtId="37" fontId="6" fillId="0" borderId="26" xfId="0" applyNumberFormat="1" applyFont="1" applyBorder="1" applyAlignment="1" applyProtection="1">
      <alignment horizontal="left" vertical="center"/>
      <protection locked="0"/>
    </xf>
    <xf numFmtId="37" fontId="6" fillId="0" borderId="31" xfId="0" applyNumberFormat="1" applyFont="1" applyBorder="1" applyAlignment="1" applyProtection="1">
      <alignment horizontal="left" vertical="center"/>
      <protection locked="0"/>
    </xf>
    <xf numFmtId="37" fontId="6" fillId="4" borderId="38" xfId="0" applyNumberFormat="1" applyFont="1" applyFill="1" applyBorder="1" applyAlignment="1" applyProtection="1">
      <alignment vertical="center"/>
      <protection hidden="1"/>
    </xf>
    <xf numFmtId="37" fontId="6" fillId="4" borderId="39" xfId="0" applyNumberFormat="1" applyFont="1" applyFill="1" applyBorder="1" applyAlignment="1" applyProtection="1">
      <alignment vertical="center"/>
      <protection hidden="1"/>
    </xf>
    <xf numFmtId="0" fontId="3" fillId="4" borderId="12" xfId="0" applyFont="1" applyFill="1" applyBorder="1" applyProtection="1">
      <protection hidden="1"/>
    </xf>
    <xf numFmtId="0" fontId="3" fillId="4" borderId="24" xfId="0" applyFont="1" applyFill="1" applyBorder="1" applyProtection="1">
      <protection hidden="1"/>
    </xf>
    <xf numFmtId="37" fontId="6" fillId="0" borderId="33" xfId="0" applyNumberFormat="1" applyFont="1" applyBorder="1" applyAlignment="1" applyProtection="1">
      <alignment horizontal="left" vertical="center"/>
      <protection locked="0"/>
    </xf>
    <xf numFmtId="37" fontId="6" fillId="0" borderId="28" xfId="0" applyNumberFormat="1" applyFont="1" applyBorder="1" applyAlignment="1" applyProtection="1">
      <alignment horizontal="left" vertical="center"/>
      <protection locked="0"/>
    </xf>
    <xf numFmtId="37" fontId="6" fillId="0" borderId="29" xfId="0" applyNumberFormat="1" applyFont="1" applyBorder="1" applyAlignment="1" applyProtection="1">
      <alignment horizontal="left" vertical="center"/>
      <protection locked="0"/>
    </xf>
    <xf numFmtId="37" fontId="6" fillId="0" borderId="8" xfId="0" applyNumberFormat="1" applyFont="1" applyBorder="1" applyAlignment="1" applyProtection="1">
      <alignment horizontal="left" vertical="center"/>
      <protection locked="0"/>
    </xf>
    <xf numFmtId="37" fontId="6" fillId="0" borderId="10" xfId="0" applyNumberFormat="1" applyFont="1" applyBorder="1" applyAlignment="1" applyProtection="1">
      <alignment horizontal="left" vertical="center"/>
      <protection locked="0"/>
    </xf>
    <xf numFmtId="37" fontId="6" fillId="0" borderId="30" xfId="0" applyNumberFormat="1" applyFont="1" applyBorder="1" applyAlignment="1" applyProtection="1">
      <alignment horizontal="left" vertical="center"/>
      <protection locked="0"/>
    </xf>
  </cellXfs>
  <cellStyles count="381">
    <cellStyle name="Comma" xfId="378" builtinId="3"/>
    <cellStyle name="Comma 10 2" xfId="1" xr:uid="{00000000-0005-0000-0000-000001000000}"/>
    <cellStyle name="Comma 10 2 2" xfId="2" xr:uid="{00000000-0005-0000-0000-000002000000}"/>
    <cellStyle name="Comma 10 2 3" xfId="3" xr:uid="{00000000-0005-0000-0000-000003000000}"/>
    <cellStyle name="Comma 10 3" xfId="4" xr:uid="{00000000-0005-0000-0000-000004000000}"/>
    <cellStyle name="Comma 10 3 2" xfId="5" xr:uid="{00000000-0005-0000-0000-000005000000}"/>
    <cellStyle name="Comma 10 3 3" xfId="6" xr:uid="{00000000-0005-0000-0000-000006000000}"/>
    <cellStyle name="Comma 10 4" xfId="7" xr:uid="{00000000-0005-0000-0000-000007000000}"/>
    <cellStyle name="Comma 10 4 2" xfId="8" xr:uid="{00000000-0005-0000-0000-000008000000}"/>
    <cellStyle name="Comma 10 4 3" xfId="9" xr:uid="{00000000-0005-0000-0000-000009000000}"/>
    <cellStyle name="Comma 10 5" xfId="10" xr:uid="{00000000-0005-0000-0000-00000A000000}"/>
    <cellStyle name="Comma 10 6" xfId="11" xr:uid="{00000000-0005-0000-0000-00000B000000}"/>
    <cellStyle name="Comma 11 2" xfId="12" xr:uid="{00000000-0005-0000-0000-00000C000000}"/>
    <cellStyle name="Comma 11 3" xfId="13" xr:uid="{00000000-0005-0000-0000-00000D000000}"/>
    <cellStyle name="Comma 11 4" xfId="14" xr:uid="{00000000-0005-0000-0000-00000E000000}"/>
    <cellStyle name="Comma 11 5" xfId="15" xr:uid="{00000000-0005-0000-0000-00000F000000}"/>
    <cellStyle name="Comma 11 6" xfId="16" xr:uid="{00000000-0005-0000-0000-000010000000}"/>
    <cellStyle name="Comma 12 2" xfId="17" xr:uid="{00000000-0005-0000-0000-000011000000}"/>
    <cellStyle name="Comma 12 3" xfId="18" xr:uid="{00000000-0005-0000-0000-000012000000}"/>
    <cellStyle name="Comma 12 4" xfId="19" xr:uid="{00000000-0005-0000-0000-000013000000}"/>
    <cellStyle name="Comma 12 5" xfId="20" xr:uid="{00000000-0005-0000-0000-000014000000}"/>
    <cellStyle name="Comma 13 2" xfId="21" xr:uid="{00000000-0005-0000-0000-000015000000}"/>
    <cellStyle name="Comma 13 3" xfId="22" xr:uid="{00000000-0005-0000-0000-000016000000}"/>
    <cellStyle name="Comma 14 2" xfId="23" xr:uid="{00000000-0005-0000-0000-000017000000}"/>
    <cellStyle name="Comma 15 2" xfId="24" xr:uid="{00000000-0005-0000-0000-000018000000}"/>
    <cellStyle name="Comma 16" xfId="25" xr:uid="{00000000-0005-0000-0000-000019000000}"/>
    <cellStyle name="Comma 16 2" xfId="26" xr:uid="{00000000-0005-0000-0000-00001A000000}"/>
    <cellStyle name="Comma 16 3" xfId="27" xr:uid="{00000000-0005-0000-0000-00001B000000}"/>
    <cellStyle name="Comma 17" xfId="28" xr:uid="{00000000-0005-0000-0000-00001C000000}"/>
    <cellStyle name="Comma 17 2" xfId="29" xr:uid="{00000000-0005-0000-0000-00001D000000}"/>
    <cellStyle name="Comma 18 2" xfId="30" xr:uid="{00000000-0005-0000-0000-00001E000000}"/>
    <cellStyle name="Comma 19" xfId="31" xr:uid="{00000000-0005-0000-0000-00001F000000}"/>
    <cellStyle name="Comma 2" xfId="32" xr:uid="{00000000-0005-0000-0000-000020000000}"/>
    <cellStyle name="Comma 2 10" xfId="33" xr:uid="{00000000-0005-0000-0000-000021000000}"/>
    <cellStyle name="Comma 2 11" xfId="34" xr:uid="{00000000-0005-0000-0000-000022000000}"/>
    <cellStyle name="Comma 2 12" xfId="35" xr:uid="{00000000-0005-0000-0000-000023000000}"/>
    <cellStyle name="Comma 2 13" xfId="36" xr:uid="{00000000-0005-0000-0000-000024000000}"/>
    <cellStyle name="Comma 2 14" xfId="37" xr:uid="{00000000-0005-0000-0000-000025000000}"/>
    <cellStyle name="Comma 2 15" xfId="38" xr:uid="{00000000-0005-0000-0000-000026000000}"/>
    <cellStyle name="Comma 2 16" xfId="39" xr:uid="{00000000-0005-0000-0000-000027000000}"/>
    <cellStyle name="Comma 2 17" xfId="40" xr:uid="{00000000-0005-0000-0000-000028000000}"/>
    <cellStyle name="Comma 2 18" xfId="41" xr:uid="{00000000-0005-0000-0000-000029000000}"/>
    <cellStyle name="Comma 2 18 2" xfId="42" xr:uid="{00000000-0005-0000-0000-00002A000000}"/>
    <cellStyle name="Comma 2 18 3" xfId="43" xr:uid="{00000000-0005-0000-0000-00002B000000}"/>
    <cellStyle name="Comma 2 19" xfId="44" xr:uid="{00000000-0005-0000-0000-00002C000000}"/>
    <cellStyle name="Comma 2 19 2" xfId="45" xr:uid="{00000000-0005-0000-0000-00002D000000}"/>
    <cellStyle name="Comma 2 19 3" xfId="46" xr:uid="{00000000-0005-0000-0000-00002E000000}"/>
    <cellStyle name="Comma 2 2" xfId="47" xr:uid="{00000000-0005-0000-0000-00002F000000}"/>
    <cellStyle name="Comma 2 2 10" xfId="48" xr:uid="{00000000-0005-0000-0000-000030000000}"/>
    <cellStyle name="Comma 2 2 11" xfId="49" xr:uid="{00000000-0005-0000-0000-000031000000}"/>
    <cellStyle name="Comma 2 2 12" xfId="50" xr:uid="{00000000-0005-0000-0000-000032000000}"/>
    <cellStyle name="Comma 2 2 13" xfId="51" xr:uid="{00000000-0005-0000-0000-000033000000}"/>
    <cellStyle name="Comma 2 2 14" xfId="52" xr:uid="{00000000-0005-0000-0000-000034000000}"/>
    <cellStyle name="Comma 2 2 15" xfId="53" xr:uid="{00000000-0005-0000-0000-000035000000}"/>
    <cellStyle name="Comma 2 2 16" xfId="54" xr:uid="{00000000-0005-0000-0000-000036000000}"/>
    <cellStyle name="Comma 2 2 17" xfId="55" xr:uid="{00000000-0005-0000-0000-000037000000}"/>
    <cellStyle name="Comma 2 2 18" xfId="56" xr:uid="{00000000-0005-0000-0000-000038000000}"/>
    <cellStyle name="Comma 2 2 19" xfId="57" xr:uid="{00000000-0005-0000-0000-000039000000}"/>
    <cellStyle name="Comma 2 2 2" xfId="58" xr:uid="{00000000-0005-0000-0000-00003A000000}"/>
    <cellStyle name="Comma 2 2 2 10" xfId="59" xr:uid="{00000000-0005-0000-0000-00003B000000}"/>
    <cellStyle name="Comma 2 2 2 11" xfId="60" xr:uid="{00000000-0005-0000-0000-00003C000000}"/>
    <cellStyle name="Comma 2 2 2 12" xfId="61" xr:uid="{00000000-0005-0000-0000-00003D000000}"/>
    <cellStyle name="Comma 2 2 2 13" xfId="62" xr:uid="{00000000-0005-0000-0000-00003E000000}"/>
    <cellStyle name="Comma 2 2 2 14" xfId="63" xr:uid="{00000000-0005-0000-0000-00003F000000}"/>
    <cellStyle name="Comma 2 2 2 15" xfId="64" xr:uid="{00000000-0005-0000-0000-000040000000}"/>
    <cellStyle name="Comma 2 2 2 16" xfId="65" xr:uid="{00000000-0005-0000-0000-000041000000}"/>
    <cellStyle name="Comma 2 2 2 17" xfId="66" xr:uid="{00000000-0005-0000-0000-000042000000}"/>
    <cellStyle name="Comma 2 2 2 17 2" xfId="67" xr:uid="{00000000-0005-0000-0000-000043000000}"/>
    <cellStyle name="Comma 2 2 2 17 3" xfId="68" xr:uid="{00000000-0005-0000-0000-000044000000}"/>
    <cellStyle name="Comma 2 2 2 18" xfId="69" xr:uid="{00000000-0005-0000-0000-000045000000}"/>
    <cellStyle name="Comma 2 2 2 19" xfId="70" xr:uid="{00000000-0005-0000-0000-000046000000}"/>
    <cellStyle name="Comma 2 2 2 2" xfId="71" xr:uid="{00000000-0005-0000-0000-000047000000}"/>
    <cellStyle name="Comma 2 2 2 2 10" xfId="72" xr:uid="{00000000-0005-0000-0000-000048000000}"/>
    <cellStyle name="Comma 2 2 2 2 11" xfId="73" xr:uid="{00000000-0005-0000-0000-000049000000}"/>
    <cellStyle name="Comma 2 2 2 2 12" xfId="74" xr:uid="{00000000-0005-0000-0000-00004A000000}"/>
    <cellStyle name="Comma 2 2 2 2 13" xfId="75" xr:uid="{00000000-0005-0000-0000-00004B000000}"/>
    <cellStyle name="Comma 2 2 2 2 14" xfId="76" xr:uid="{00000000-0005-0000-0000-00004C000000}"/>
    <cellStyle name="Comma 2 2 2 2 15" xfId="77" xr:uid="{00000000-0005-0000-0000-00004D000000}"/>
    <cellStyle name="Comma 2 2 2 2 16" xfId="78" xr:uid="{00000000-0005-0000-0000-00004E000000}"/>
    <cellStyle name="Comma 2 2 2 2 17" xfId="79" xr:uid="{00000000-0005-0000-0000-00004F000000}"/>
    <cellStyle name="Comma 2 2 2 2 2" xfId="80" xr:uid="{00000000-0005-0000-0000-000050000000}"/>
    <cellStyle name="Comma 2 2 2 2 2 10" xfId="81" xr:uid="{00000000-0005-0000-0000-000051000000}"/>
    <cellStyle name="Comma 2 2 2 2 2 11" xfId="82" xr:uid="{00000000-0005-0000-0000-000052000000}"/>
    <cellStyle name="Comma 2 2 2 2 2 12" xfId="83" xr:uid="{00000000-0005-0000-0000-000053000000}"/>
    <cellStyle name="Comma 2 2 2 2 2 13" xfId="84" xr:uid="{00000000-0005-0000-0000-000054000000}"/>
    <cellStyle name="Comma 2 2 2 2 2 14" xfId="85" xr:uid="{00000000-0005-0000-0000-000055000000}"/>
    <cellStyle name="Comma 2 2 2 2 2 15" xfId="86" xr:uid="{00000000-0005-0000-0000-000056000000}"/>
    <cellStyle name="Comma 2 2 2 2 2 2" xfId="87" xr:uid="{00000000-0005-0000-0000-000057000000}"/>
    <cellStyle name="Comma 2 2 2 2 2 2 2" xfId="88" xr:uid="{00000000-0005-0000-0000-000058000000}"/>
    <cellStyle name="Comma 2 2 2 2 2 2 3" xfId="89" xr:uid="{00000000-0005-0000-0000-000059000000}"/>
    <cellStyle name="Comma 2 2 2 2 2 3" xfId="90" xr:uid="{00000000-0005-0000-0000-00005A000000}"/>
    <cellStyle name="Comma 2 2 2 2 2 4" xfId="91" xr:uid="{00000000-0005-0000-0000-00005B000000}"/>
    <cellStyle name="Comma 2 2 2 2 2 5" xfId="92" xr:uid="{00000000-0005-0000-0000-00005C000000}"/>
    <cellStyle name="Comma 2 2 2 2 2 6" xfId="93" xr:uid="{00000000-0005-0000-0000-00005D000000}"/>
    <cellStyle name="Comma 2 2 2 2 2 7" xfId="94" xr:uid="{00000000-0005-0000-0000-00005E000000}"/>
    <cellStyle name="Comma 2 2 2 2 2 8" xfId="95" xr:uid="{00000000-0005-0000-0000-00005F000000}"/>
    <cellStyle name="Comma 2 2 2 2 2 9" xfId="96" xr:uid="{00000000-0005-0000-0000-000060000000}"/>
    <cellStyle name="Comma 2 2 2 2 3" xfId="97" xr:uid="{00000000-0005-0000-0000-000061000000}"/>
    <cellStyle name="Comma 2 2 2 2 4" xfId="98" xr:uid="{00000000-0005-0000-0000-000062000000}"/>
    <cellStyle name="Comma 2 2 2 2 5" xfId="99" xr:uid="{00000000-0005-0000-0000-000063000000}"/>
    <cellStyle name="Comma 2 2 2 2 5 2" xfId="100" xr:uid="{00000000-0005-0000-0000-000064000000}"/>
    <cellStyle name="Comma 2 2 2 2 5 3" xfId="101" xr:uid="{00000000-0005-0000-0000-000065000000}"/>
    <cellStyle name="Comma 2 2 2 2 6" xfId="102" xr:uid="{00000000-0005-0000-0000-000066000000}"/>
    <cellStyle name="Comma 2 2 2 2 7" xfId="103" xr:uid="{00000000-0005-0000-0000-000067000000}"/>
    <cellStyle name="Comma 2 2 2 2 8" xfId="104" xr:uid="{00000000-0005-0000-0000-000068000000}"/>
    <cellStyle name="Comma 2 2 2 2 9" xfId="105" xr:uid="{00000000-0005-0000-0000-000069000000}"/>
    <cellStyle name="Comma 2 2 2 20" xfId="106" xr:uid="{00000000-0005-0000-0000-00006A000000}"/>
    <cellStyle name="Comma 2 2 2 21" xfId="107" xr:uid="{00000000-0005-0000-0000-00006B000000}"/>
    <cellStyle name="Comma 2 2 2 22" xfId="108" xr:uid="{00000000-0005-0000-0000-00006C000000}"/>
    <cellStyle name="Comma 2 2 2 23" xfId="109" xr:uid="{00000000-0005-0000-0000-00006D000000}"/>
    <cellStyle name="Comma 2 2 2 24" xfId="110" xr:uid="{00000000-0005-0000-0000-00006E000000}"/>
    <cellStyle name="Comma 2 2 2 25" xfId="111" xr:uid="{00000000-0005-0000-0000-00006F000000}"/>
    <cellStyle name="Comma 2 2 2 26" xfId="112" xr:uid="{00000000-0005-0000-0000-000070000000}"/>
    <cellStyle name="Comma 2 2 2 27" xfId="113" xr:uid="{00000000-0005-0000-0000-000071000000}"/>
    <cellStyle name="Comma 2 2 2 28" xfId="114" xr:uid="{00000000-0005-0000-0000-000072000000}"/>
    <cellStyle name="Comma 2 2 2 29" xfId="115" xr:uid="{00000000-0005-0000-0000-000073000000}"/>
    <cellStyle name="Comma 2 2 2 3" xfId="116" xr:uid="{00000000-0005-0000-0000-000074000000}"/>
    <cellStyle name="Comma 2 2 2 4" xfId="117" xr:uid="{00000000-0005-0000-0000-000075000000}"/>
    <cellStyle name="Comma 2 2 2 5" xfId="118" xr:uid="{00000000-0005-0000-0000-000076000000}"/>
    <cellStyle name="Comma 2 2 2 6" xfId="119" xr:uid="{00000000-0005-0000-0000-000077000000}"/>
    <cellStyle name="Comma 2 2 2 7" xfId="120" xr:uid="{00000000-0005-0000-0000-000078000000}"/>
    <cellStyle name="Comma 2 2 2 8" xfId="121" xr:uid="{00000000-0005-0000-0000-000079000000}"/>
    <cellStyle name="Comma 2 2 2 9" xfId="122" xr:uid="{00000000-0005-0000-0000-00007A000000}"/>
    <cellStyle name="Comma 2 2 20" xfId="123" xr:uid="{00000000-0005-0000-0000-00007B000000}"/>
    <cellStyle name="Comma 2 2 20 2" xfId="124" xr:uid="{00000000-0005-0000-0000-00007C000000}"/>
    <cellStyle name="Comma 2 2 20 3" xfId="125" xr:uid="{00000000-0005-0000-0000-00007D000000}"/>
    <cellStyle name="Comma 2 2 21" xfId="126" xr:uid="{00000000-0005-0000-0000-00007E000000}"/>
    <cellStyle name="Comma 2 2 22" xfId="127" xr:uid="{00000000-0005-0000-0000-00007F000000}"/>
    <cellStyle name="Comma 2 2 23" xfId="128" xr:uid="{00000000-0005-0000-0000-000080000000}"/>
    <cellStyle name="Comma 2 2 24" xfId="129" xr:uid="{00000000-0005-0000-0000-000081000000}"/>
    <cellStyle name="Comma 2 2 25" xfId="130" xr:uid="{00000000-0005-0000-0000-000082000000}"/>
    <cellStyle name="Comma 2 2 26" xfId="131" xr:uid="{00000000-0005-0000-0000-000083000000}"/>
    <cellStyle name="Comma 2 2 27" xfId="132" xr:uid="{00000000-0005-0000-0000-000084000000}"/>
    <cellStyle name="Comma 2 2 28" xfId="133" xr:uid="{00000000-0005-0000-0000-000085000000}"/>
    <cellStyle name="Comma 2 2 29" xfId="134" xr:uid="{00000000-0005-0000-0000-000086000000}"/>
    <cellStyle name="Comma 2 2 3" xfId="135" xr:uid="{00000000-0005-0000-0000-000087000000}"/>
    <cellStyle name="Comma 2 2 30" xfId="136" xr:uid="{00000000-0005-0000-0000-000088000000}"/>
    <cellStyle name="Comma 2 2 31" xfId="137" xr:uid="{00000000-0005-0000-0000-000089000000}"/>
    <cellStyle name="Comma 2 2 32" xfId="138" xr:uid="{00000000-0005-0000-0000-00008A000000}"/>
    <cellStyle name="Comma 2 2 4" xfId="139" xr:uid="{00000000-0005-0000-0000-00008B000000}"/>
    <cellStyle name="Comma 2 2 5" xfId="140" xr:uid="{00000000-0005-0000-0000-00008C000000}"/>
    <cellStyle name="Comma 2 2 6" xfId="141" xr:uid="{00000000-0005-0000-0000-00008D000000}"/>
    <cellStyle name="Comma 2 2 6 2" xfId="142" xr:uid="{00000000-0005-0000-0000-00008E000000}"/>
    <cellStyle name="Comma 2 2 6 3" xfId="143" xr:uid="{00000000-0005-0000-0000-00008F000000}"/>
    <cellStyle name="Comma 2 2 6 4" xfId="144" xr:uid="{00000000-0005-0000-0000-000090000000}"/>
    <cellStyle name="Comma 2 2 7" xfId="145" xr:uid="{00000000-0005-0000-0000-000091000000}"/>
    <cellStyle name="Comma 2 2 8" xfId="146" xr:uid="{00000000-0005-0000-0000-000092000000}"/>
    <cellStyle name="Comma 2 2 9" xfId="147" xr:uid="{00000000-0005-0000-0000-000093000000}"/>
    <cellStyle name="Comma 2 20" xfId="148" xr:uid="{00000000-0005-0000-0000-000094000000}"/>
    <cellStyle name="Comma 2 20 2" xfId="149" xr:uid="{00000000-0005-0000-0000-000095000000}"/>
    <cellStyle name="Comma 2 20 3" xfId="150" xr:uid="{00000000-0005-0000-0000-000096000000}"/>
    <cellStyle name="Comma 2 21" xfId="151" xr:uid="{00000000-0005-0000-0000-000097000000}"/>
    <cellStyle name="Comma 2 22" xfId="152" xr:uid="{00000000-0005-0000-0000-000098000000}"/>
    <cellStyle name="Comma 2 23" xfId="153" xr:uid="{00000000-0005-0000-0000-000099000000}"/>
    <cellStyle name="Comma 2 24" xfId="154" xr:uid="{00000000-0005-0000-0000-00009A000000}"/>
    <cellStyle name="Comma 2 25" xfId="155" xr:uid="{00000000-0005-0000-0000-00009B000000}"/>
    <cellStyle name="Comma 2 26" xfId="156" xr:uid="{00000000-0005-0000-0000-00009C000000}"/>
    <cellStyle name="Comma 2 27" xfId="157" xr:uid="{00000000-0005-0000-0000-00009D000000}"/>
    <cellStyle name="Comma 2 28" xfId="158" xr:uid="{00000000-0005-0000-0000-00009E000000}"/>
    <cellStyle name="Comma 2 29" xfId="159" xr:uid="{00000000-0005-0000-0000-00009F000000}"/>
    <cellStyle name="Comma 2 3" xfId="160" xr:uid="{00000000-0005-0000-0000-0000A0000000}"/>
    <cellStyle name="Comma 2 30" xfId="161" xr:uid="{00000000-0005-0000-0000-0000A1000000}"/>
    <cellStyle name="Comma 2 31" xfId="162" xr:uid="{00000000-0005-0000-0000-0000A2000000}"/>
    <cellStyle name="Comma 2 32" xfId="163" xr:uid="{00000000-0005-0000-0000-0000A3000000}"/>
    <cellStyle name="Comma 2 4" xfId="164" xr:uid="{00000000-0005-0000-0000-0000A4000000}"/>
    <cellStyle name="Comma 2 5" xfId="165" xr:uid="{00000000-0005-0000-0000-0000A5000000}"/>
    <cellStyle name="Comma 2 6" xfId="166" xr:uid="{00000000-0005-0000-0000-0000A6000000}"/>
    <cellStyle name="Comma 2 6 2" xfId="167" xr:uid="{00000000-0005-0000-0000-0000A7000000}"/>
    <cellStyle name="Comma 2 6 3" xfId="168" xr:uid="{00000000-0005-0000-0000-0000A8000000}"/>
    <cellStyle name="Comma 2 6 4" xfId="169" xr:uid="{00000000-0005-0000-0000-0000A9000000}"/>
    <cellStyle name="Comma 2 6 5" xfId="170" xr:uid="{00000000-0005-0000-0000-0000AA000000}"/>
    <cellStyle name="Comma 2 6 6" xfId="171" xr:uid="{00000000-0005-0000-0000-0000AB000000}"/>
    <cellStyle name="Comma 2 7" xfId="172" xr:uid="{00000000-0005-0000-0000-0000AC000000}"/>
    <cellStyle name="Comma 2 8" xfId="173" xr:uid="{00000000-0005-0000-0000-0000AD000000}"/>
    <cellStyle name="Comma 2 9" xfId="174" xr:uid="{00000000-0005-0000-0000-0000AE000000}"/>
    <cellStyle name="Comma 20" xfId="175" xr:uid="{00000000-0005-0000-0000-0000AF000000}"/>
    <cellStyle name="Comma 21" xfId="176" xr:uid="{00000000-0005-0000-0000-0000B0000000}"/>
    <cellStyle name="Comma 21 2" xfId="177" xr:uid="{00000000-0005-0000-0000-0000B1000000}"/>
    <cellStyle name="Comma 22" xfId="178" xr:uid="{00000000-0005-0000-0000-0000B2000000}"/>
    <cellStyle name="Comma 22 2" xfId="179" xr:uid="{00000000-0005-0000-0000-0000B3000000}"/>
    <cellStyle name="Comma 25" xfId="180" xr:uid="{00000000-0005-0000-0000-0000B4000000}"/>
    <cellStyle name="Comma 3" xfId="181" xr:uid="{00000000-0005-0000-0000-0000B5000000}"/>
    <cellStyle name="Comma 3 10" xfId="182" xr:uid="{00000000-0005-0000-0000-0000B6000000}"/>
    <cellStyle name="Comma 3 2" xfId="183" xr:uid="{00000000-0005-0000-0000-0000B7000000}"/>
    <cellStyle name="Comma 3 3" xfId="184" xr:uid="{00000000-0005-0000-0000-0000B8000000}"/>
    <cellStyle name="Comma 3 4" xfId="185" xr:uid="{00000000-0005-0000-0000-0000B9000000}"/>
    <cellStyle name="Comma 3 5" xfId="186" xr:uid="{00000000-0005-0000-0000-0000BA000000}"/>
    <cellStyle name="Comma 3 6" xfId="187" xr:uid="{00000000-0005-0000-0000-0000BB000000}"/>
    <cellStyle name="Comma 3 7" xfId="188" xr:uid="{00000000-0005-0000-0000-0000BC000000}"/>
    <cellStyle name="Comma 3 8" xfId="189" xr:uid="{00000000-0005-0000-0000-0000BD000000}"/>
    <cellStyle name="Comma 3 9" xfId="190" xr:uid="{00000000-0005-0000-0000-0000BE000000}"/>
    <cellStyle name="Comma 4" xfId="191" xr:uid="{00000000-0005-0000-0000-0000BF000000}"/>
    <cellStyle name="Comma 5" xfId="192" xr:uid="{00000000-0005-0000-0000-0000C0000000}"/>
    <cellStyle name="Comma 6" xfId="193" xr:uid="{00000000-0005-0000-0000-0000C1000000}"/>
    <cellStyle name="Comma 7" xfId="194" xr:uid="{00000000-0005-0000-0000-0000C2000000}"/>
    <cellStyle name="Comma 8" xfId="195" xr:uid="{00000000-0005-0000-0000-0000C3000000}"/>
    <cellStyle name="Comma 9 2" xfId="196" xr:uid="{00000000-0005-0000-0000-0000C4000000}"/>
    <cellStyle name="Comma 9 2 2" xfId="197" xr:uid="{00000000-0005-0000-0000-0000C5000000}"/>
    <cellStyle name="Comma 9 2 3" xfId="198" xr:uid="{00000000-0005-0000-0000-0000C6000000}"/>
    <cellStyle name="Comma 9 3" xfId="199" xr:uid="{00000000-0005-0000-0000-0000C7000000}"/>
    <cellStyle name="Comma 9 3 2" xfId="200" xr:uid="{00000000-0005-0000-0000-0000C8000000}"/>
    <cellStyle name="Comma 9 3 3" xfId="201" xr:uid="{00000000-0005-0000-0000-0000C9000000}"/>
    <cellStyle name="Comma 9 4" xfId="202" xr:uid="{00000000-0005-0000-0000-0000CA000000}"/>
    <cellStyle name="Comma 9 4 2" xfId="203" xr:uid="{00000000-0005-0000-0000-0000CB000000}"/>
    <cellStyle name="Comma 9 4 3" xfId="204" xr:uid="{00000000-0005-0000-0000-0000CC000000}"/>
    <cellStyle name="Comma 9 5" xfId="205" xr:uid="{00000000-0005-0000-0000-0000CD000000}"/>
    <cellStyle name="Comma 9 6" xfId="206" xr:uid="{00000000-0005-0000-0000-0000CE000000}"/>
    <cellStyle name="Excel Built-in Normal" xfId="207" xr:uid="{00000000-0005-0000-0000-0000CF000000}"/>
    <cellStyle name="Normal" xfId="0" builtinId="0"/>
    <cellStyle name="Normal 10" xfId="208" xr:uid="{00000000-0005-0000-0000-0000D1000000}"/>
    <cellStyle name="Normal 10 2" xfId="209" xr:uid="{00000000-0005-0000-0000-0000D2000000}"/>
    <cellStyle name="Normal 10 3" xfId="210" xr:uid="{00000000-0005-0000-0000-0000D3000000}"/>
    <cellStyle name="Normal 11" xfId="211" xr:uid="{00000000-0005-0000-0000-0000D4000000}"/>
    <cellStyle name="Normal 11 2" xfId="212" xr:uid="{00000000-0005-0000-0000-0000D5000000}"/>
    <cellStyle name="Normal 11 3" xfId="213" xr:uid="{00000000-0005-0000-0000-0000D6000000}"/>
    <cellStyle name="Normal 12" xfId="214" xr:uid="{00000000-0005-0000-0000-0000D7000000}"/>
    <cellStyle name="Normal 12 2" xfId="215" xr:uid="{00000000-0005-0000-0000-0000D8000000}"/>
    <cellStyle name="Normal 12 3" xfId="216" xr:uid="{00000000-0005-0000-0000-0000D9000000}"/>
    <cellStyle name="Normal 13" xfId="217" xr:uid="{00000000-0005-0000-0000-0000DA000000}"/>
    <cellStyle name="Normal 13 2" xfId="218" xr:uid="{00000000-0005-0000-0000-0000DB000000}"/>
    <cellStyle name="Normal 13 3" xfId="219" xr:uid="{00000000-0005-0000-0000-0000DC000000}"/>
    <cellStyle name="Normal 14" xfId="220" xr:uid="{00000000-0005-0000-0000-0000DD000000}"/>
    <cellStyle name="Normal 14 2" xfId="221" xr:uid="{00000000-0005-0000-0000-0000DE000000}"/>
    <cellStyle name="Normal 14 3" xfId="222" xr:uid="{00000000-0005-0000-0000-0000DF000000}"/>
    <cellStyle name="Normal 15" xfId="223" xr:uid="{00000000-0005-0000-0000-0000E0000000}"/>
    <cellStyle name="Normal 15 2" xfId="224" xr:uid="{00000000-0005-0000-0000-0000E1000000}"/>
    <cellStyle name="Normal 15 3" xfId="225" xr:uid="{00000000-0005-0000-0000-0000E2000000}"/>
    <cellStyle name="Normal 16" xfId="226" xr:uid="{00000000-0005-0000-0000-0000E3000000}"/>
    <cellStyle name="Normal 16 2" xfId="227" xr:uid="{00000000-0005-0000-0000-0000E4000000}"/>
    <cellStyle name="Normal 16 3" xfId="228" xr:uid="{00000000-0005-0000-0000-0000E5000000}"/>
    <cellStyle name="Normal 17 2" xfId="229" xr:uid="{00000000-0005-0000-0000-0000E6000000}"/>
    <cellStyle name="Normal 18 2" xfId="230" xr:uid="{00000000-0005-0000-0000-0000E7000000}"/>
    <cellStyle name="Normal 19 2" xfId="231" xr:uid="{00000000-0005-0000-0000-0000E8000000}"/>
    <cellStyle name="Normal 2" xfId="232" xr:uid="{00000000-0005-0000-0000-0000E9000000}"/>
    <cellStyle name="Normal 2 10" xfId="233" xr:uid="{00000000-0005-0000-0000-0000EA000000}"/>
    <cellStyle name="Normal 2 11" xfId="234" xr:uid="{00000000-0005-0000-0000-0000EB000000}"/>
    <cellStyle name="Normal 2 12" xfId="235" xr:uid="{00000000-0005-0000-0000-0000EC000000}"/>
    <cellStyle name="Normal 2 13" xfId="236" xr:uid="{00000000-0005-0000-0000-0000ED000000}"/>
    <cellStyle name="Normal 2 14" xfId="237" xr:uid="{00000000-0005-0000-0000-0000EE000000}"/>
    <cellStyle name="Normal 2 15" xfId="238" xr:uid="{00000000-0005-0000-0000-0000EF000000}"/>
    <cellStyle name="Normal 2 16" xfId="239" xr:uid="{00000000-0005-0000-0000-0000F0000000}"/>
    <cellStyle name="Normal 2 17" xfId="240" xr:uid="{00000000-0005-0000-0000-0000F1000000}"/>
    <cellStyle name="Normal 2 18" xfId="241" xr:uid="{00000000-0005-0000-0000-0000F2000000}"/>
    <cellStyle name="Normal 2 19" xfId="242" xr:uid="{00000000-0005-0000-0000-0000F3000000}"/>
    <cellStyle name="Normal 2 19 2" xfId="243" xr:uid="{00000000-0005-0000-0000-0000F4000000}"/>
    <cellStyle name="Normal 2 19 3" xfId="244" xr:uid="{00000000-0005-0000-0000-0000F5000000}"/>
    <cellStyle name="Normal 2 2" xfId="245" xr:uid="{00000000-0005-0000-0000-0000F6000000}"/>
    <cellStyle name="Normal 2 20" xfId="246" xr:uid="{00000000-0005-0000-0000-0000F7000000}"/>
    <cellStyle name="Normal 2 20 2" xfId="247" xr:uid="{00000000-0005-0000-0000-0000F8000000}"/>
    <cellStyle name="Normal 2 20 3" xfId="248" xr:uid="{00000000-0005-0000-0000-0000F9000000}"/>
    <cellStyle name="Normal 2 21" xfId="249" xr:uid="{00000000-0005-0000-0000-0000FA000000}"/>
    <cellStyle name="Normal 2 21 2" xfId="250" xr:uid="{00000000-0005-0000-0000-0000FB000000}"/>
    <cellStyle name="Normal 2 21 3" xfId="251" xr:uid="{00000000-0005-0000-0000-0000FC000000}"/>
    <cellStyle name="Normal 2 22" xfId="252" xr:uid="{00000000-0005-0000-0000-0000FD000000}"/>
    <cellStyle name="Normal 2 23" xfId="253" xr:uid="{00000000-0005-0000-0000-0000FE000000}"/>
    <cellStyle name="Normal 2 24" xfId="254" xr:uid="{00000000-0005-0000-0000-0000FF000000}"/>
    <cellStyle name="Normal 2 25" xfId="255" xr:uid="{00000000-0005-0000-0000-000000010000}"/>
    <cellStyle name="Normal 2 26" xfId="256" xr:uid="{00000000-0005-0000-0000-000001010000}"/>
    <cellStyle name="Normal 2 27" xfId="257" xr:uid="{00000000-0005-0000-0000-000002010000}"/>
    <cellStyle name="Normal 2 28" xfId="258" xr:uid="{00000000-0005-0000-0000-000003010000}"/>
    <cellStyle name="Normal 2 29" xfId="259" xr:uid="{00000000-0005-0000-0000-000004010000}"/>
    <cellStyle name="Normal 2 3" xfId="260" xr:uid="{00000000-0005-0000-0000-000005010000}"/>
    <cellStyle name="Normal 2 3 10" xfId="261" xr:uid="{00000000-0005-0000-0000-000006010000}"/>
    <cellStyle name="Normal 2 3 11" xfId="262" xr:uid="{00000000-0005-0000-0000-000007010000}"/>
    <cellStyle name="Normal 2 3 2" xfId="263" xr:uid="{00000000-0005-0000-0000-000008010000}"/>
    <cellStyle name="Normal 2 3 3" xfId="264" xr:uid="{00000000-0005-0000-0000-000009010000}"/>
    <cellStyle name="Normal 2 3 4" xfId="265" xr:uid="{00000000-0005-0000-0000-00000A010000}"/>
    <cellStyle name="Normal 2 3 5" xfId="266" xr:uid="{00000000-0005-0000-0000-00000B010000}"/>
    <cellStyle name="Normal 2 3 6" xfId="267" xr:uid="{00000000-0005-0000-0000-00000C010000}"/>
    <cellStyle name="Normal 2 3 7" xfId="268" xr:uid="{00000000-0005-0000-0000-00000D010000}"/>
    <cellStyle name="Normal 2 3 8" xfId="269" xr:uid="{00000000-0005-0000-0000-00000E010000}"/>
    <cellStyle name="Normal 2 3 9" xfId="270" xr:uid="{00000000-0005-0000-0000-00000F010000}"/>
    <cellStyle name="Normal 2 3_2010_09_06_STOCK STATUS-1" xfId="271" xr:uid="{00000000-0005-0000-0000-000010010000}"/>
    <cellStyle name="Normal 2 30" xfId="272" xr:uid="{00000000-0005-0000-0000-000011010000}"/>
    <cellStyle name="Normal 2 31" xfId="273" xr:uid="{00000000-0005-0000-0000-000012010000}"/>
    <cellStyle name="Normal 2 32" xfId="274" xr:uid="{00000000-0005-0000-0000-000013010000}"/>
    <cellStyle name="Normal 2 33" xfId="275" xr:uid="{00000000-0005-0000-0000-000014010000}"/>
    <cellStyle name="Normal 2 34" xfId="380" xr:uid="{60BE74B9-01B3-4EBC-8EAD-6B0E51CB9CDD}"/>
    <cellStyle name="Normal 2 4" xfId="276" xr:uid="{00000000-0005-0000-0000-000015010000}"/>
    <cellStyle name="Normal 2 5" xfId="277" xr:uid="{00000000-0005-0000-0000-000016010000}"/>
    <cellStyle name="Normal 2 6" xfId="278" xr:uid="{00000000-0005-0000-0000-000017010000}"/>
    <cellStyle name="Normal 2 7" xfId="279" xr:uid="{00000000-0005-0000-0000-000018010000}"/>
    <cellStyle name="Normal 2 7 2" xfId="280" xr:uid="{00000000-0005-0000-0000-000019010000}"/>
    <cellStyle name="Normal 2 7 3" xfId="281" xr:uid="{00000000-0005-0000-0000-00001A010000}"/>
    <cellStyle name="Normal 2 7 4" xfId="282" xr:uid="{00000000-0005-0000-0000-00001B010000}"/>
    <cellStyle name="Normal 2 7 5" xfId="283" xr:uid="{00000000-0005-0000-0000-00001C010000}"/>
    <cellStyle name="Normal 2 7 6" xfId="284" xr:uid="{00000000-0005-0000-0000-00001D010000}"/>
    <cellStyle name="Normal 2 8" xfId="285" xr:uid="{00000000-0005-0000-0000-00001E010000}"/>
    <cellStyle name="Normal 2 9" xfId="286" xr:uid="{00000000-0005-0000-0000-00001F010000}"/>
    <cellStyle name="Normal 2_2010_09_06_STOCK STATUS-1" xfId="287" xr:uid="{00000000-0005-0000-0000-000020010000}"/>
    <cellStyle name="Normal 20 2" xfId="288" xr:uid="{00000000-0005-0000-0000-000021010000}"/>
    <cellStyle name="Normal 21 2" xfId="289" xr:uid="{00000000-0005-0000-0000-000022010000}"/>
    <cellStyle name="Normal 22 2" xfId="290" xr:uid="{00000000-0005-0000-0000-000023010000}"/>
    <cellStyle name="Normal 22 3" xfId="291" xr:uid="{00000000-0005-0000-0000-000024010000}"/>
    <cellStyle name="Normal 23" xfId="292" xr:uid="{00000000-0005-0000-0000-000025010000}"/>
    <cellStyle name="Normal 23 2" xfId="293" xr:uid="{00000000-0005-0000-0000-000026010000}"/>
    <cellStyle name="Normal 3" xfId="294" xr:uid="{00000000-0005-0000-0000-000027010000}"/>
    <cellStyle name="Normal 30" xfId="295" xr:uid="{00000000-0005-0000-0000-000028010000}"/>
    <cellStyle name="Normal 4" xfId="296" xr:uid="{00000000-0005-0000-0000-000029010000}"/>
    <cellStyle name="Normal 5 2" xfId="297" xr:uid="{00000000-0005-0000-0000-00002A010000}"/>
    <cellStyle name="Normal 5 2 2" xfId="298" xr:uid="{00000000-0005-0000-0000-00002B010000}"/>
    <cellStyle name="Normal 5 2 3" xfId="299" xr:uid="{00000000-0005-0000-0000-00002C010000}"/>
    <cellStyle name="Normal 5 3" xfId="300" xr:uid="{00000000-0005-0000-0000-00002D010000}"/>
    <cellStyle name="Normal 5 3 2" xfId="301" xr:uid="{00000000-0005-0000-0000-00002E010000}"/>
    <cellStyle name="Normal 5 3 3" xfId="302" xr:uid="{00000000-0005-0000-0000-00002F010000}"/>
    <cellStyle name="Normal 5 4" xfId="303" xr:uid="{00000000-0005-0000-0000-000030010000}"/>
    <cellStyle name="Normal 5 4 2" xfId="304" xr:uid="{00000000-0005-0000-0000-000031010000}"/>
    <cellStyle name="Normal 5 4 3" xfId="305" xr:uid="{00000000-0005-0000-0000-000032010000}"/>
    <cellStyle name="Normal 5 5" xfId="306" xr:uid="{00000000-0005-0000-0000-000033010000}"/>
    <cellStyle name="Normal 5 6" xfId="307" xr:uid="{00000000-0005-0000-0000-000034010000}"/>
    <cellStyle name="Normal 6 2" xfId="308" xr:uid="{00000000-0005-0000-0000-000035010000}"/>
    <cellStyle name="Normal 6 2 2" xfId="309" xr:uid="{00000000-0005-0000-0000-000036010000}"/>
    <cellStyle name="Normal 6 2 3" xfId="310" xr:uid="{00000000-0005-0000-0000-000037010000}"/>
    <cellStyle name="Normal 6 3" xfId="311" xr:uid="{00000000-0005-0000-0000-000038010000}"/>
    <cellStyle name="Normal 6 3 2" xfId="312" xr:uid="{00000000-0005-0000-0000-000039010000}"/>
    <cellStyle name="Normal 6 3 3" xfId="313" xr:uid="{00000000-0005-0000-0000-00003A010000}"/>
    <cellStyle name="Normal 6 4" xfId="314" xr:uid="{00000000-0005-0000-0000-00003B010000}"/>
    <cellStyle name="Normal 6 4 2" xfId="315" xr:uid="{00000000-0005-0000-0000-00003C010000}"/>
    <cellStyle name="Normal 6 4 3" xfId="316" xr:uid="{00000000-0005-0000-0000-00003D010000}"/>
    <cellStyle name="Normal 6 5" xfId="317" xr:uid="{00000000-0005-0000-0000-00003E010000}"/>
    <cellStyle name="Normal 6 6" xfId="318" xr:uid="{00000000-0005-0000-0000-00003F010000}"/>
    <cellStyle name="Normal 7 2" xfId="319" xr:uid="{00000000-0005-0000-0000-000040010000}"/>
    <cellStyle name="Normal 7 2 2" xfId="320" xr:uid="{00000000-0005-0000-0000-000041010000}"/>
    <cellStyle name="Normal 7 2 3" xfId="321" xr:uid="{00000000-0005-0000-0000-000042010000}"/>
    <cellStyle name="Normal 7 3" xfId="322" xr:uid="{00000000-0005-0000-0000-000043010000}"/>
    <cellStyle name="Normal 7 3 2" xfId="323" xr:uid="{00000000-0005-0000-0000-000044010000}"/>
    <cellStyle name="Normal 7 3 3" xfId="324" xr:uid="{00000000-0005-0000-0000-000045010000}"/>
    <cellStyle name="Normal 7 4" xfId="325" xr:uid="{00000000-0005-0000-0000-000046010000}"/>
    <cellStyle name="Normal 7 4 2" xfId="326" xr:uid="{00000000-0005-0000-0000-000047010000}"/>
    <cellStyle name="Normal 7 4 3" xfId="327" xr:uid="{00000000-0005-0000-0000-000048010000}"/>
    <cellStyle name="Normal 7 5" xfId="328" xr:uid="{00000000-0005-0000-0000-000049010000}"/>
    <cellStyle name="Normal 7 6" xfId="329" xr:uid="{00000000-0005-0000-0000-00004A010000}"/>
    <cellStyle name="Normal 8 2" xfId="330" xr:uid="{00000000-0005-0000-0000-00004B010000}"/>
    <cellStyle name="Normal 8 2 2" xfId="331" xr:uid="{00000000-0005-0000-0000-00004C010000}"/>
    <cellStyle name="Normal 8 2 3" xfId="332" xr:uid="{00000000-0005-0000-0000-00004D010000}"/>
    <cellStyle name="Normal 8 3" xfId="333" xr:uid="{00000000-0005-0000-0000-00004E010000}"/>
    <cellStyle name="Normal 8 3 2" xfId="334" xr:uid="{00000000-0005-0000-0000-00004F010000}"/>
    <cellStyle name="Normal 8 3 3" xfId="335" xr:uid="{00000000-0005-0000-0000-000050010000}"/>
    <cellStyle name="Normal 8 4" xfId="336" xr:uid="{00000000-0005-0000-0000-000051010000}"/>
    <cellStyle name="Normal 8 4 2" xfId="337" xr:uid="{00000000-0005-0000-0000-000052010000}"/>
    <cellStyle name="Normal 8 4 3" xfId="338" xr:uid="{00000000-0005-0000-0000-000053010000}"/>
    <cellStyle name="Normal 8 5" xfId="339" xr:uid="{00000000-0005-0000-0000-000054010000}"/>
    <cellStyle name="Normal 9 2" xfId="340" xr:uid="{00000000-0005-0000-0000-000055010000}"/>
    <cellStyle name="Normal 9 2 2" xfId="341" xr:uid="{00000000-0005-0000-0000-000056010000}"/>
    <cellStyle name="Normal 9 2 3" xfId="342" xr:uid="{00000000-0005-0000-0000-000057010000}"/>
    <cellStyle name="Normal 9 3" xfId="343" xr:uid="{00000000-0005-0000-0000-000058010000}"/>
    <cellStyle name="Normal 9 3 2" xfId="344" xr:uid="{00000000-0005-0000-0000-000059010000}"/>
    <cellStyle name="Normal 9 3 3" xfId="345" xr:uid="{00000000-0005-0000-0000-00005A010000}"/>
    <cellStyle name="Normal 9 4" xfId="346" xr:uid="{00000000-0005-0000-0000-00005B010000}"/>
    <cellStyle name="Normal 9 4 2" xfId="347" xr:uid="{00000000-0005-0000-0000-00005C010000}"/>
    <cellStyle name="Normal 9 4 3" xfId="348" xr:uid="{00000000-0005-0000-0000-00005D010000}"/>
    <cellStyle name="Normal 9 5" xfId="349" xr:uid="{00000000-0005-0000-0000-00005E010000}"/>
    <cellStyle name="Normal 9 6" xfId="350" xr:uid="{00000000-0005-0000-0000-00005F010000}"/>
    <cellStyle name="Normal_Sheet1" xfId="379" xr:uid="{3AAF140F-18C0-46E5-9F72-99A49796A50E}"/>
    <cellStyle name="Percent 2" xfId="351" xr:uid="{00000000-0005-0000-0000-000060010000}"/>
    <cellStyle name="Percent 2 10" xfId="352" xr:uid="{00000000-0005-0000-0000-000061010000}"/>
    <cellStyle name="Percent 2 10 2" xfId="353" xr:uid="{00000000-0005-0000-0000-000062010000}"/>
    <cellStyle name="Percent 2 11" xfId="354" xr:uid="{00000000-0005-0000-0000-000063010000}"/>
    <cellStyle name="Percent 2 11 2" xfId="355" xr:uid="{00000000-0005-0000-0000-000064010000}"/>
    <cellStyle name="Percent 2 12" xfId="356" xr:uid="{00000000-0005-0000-0000-000065010000}"/>
    <cellStyle name="Percent 2 12 2" xfId="357" xr:uid="{00000000-0005-0000-0000-000066010000}"/>
    <cellStyle name="Percent 2 13" xfId="358" xr:uid="{00000000-0005-0000-0000-000067010000}"/>
    <cellStyle name="Percent 2 13 2" xfId="359" xr:uid="{00000000-0005-0000-0000-000068010000}"/>
    <cellStyle name="Percent 2 14" xfId="360" xr:uid="{00000000-0005-0000-0000-000069010000}"/>
    <cellStyle name="Percent 2 14 2" xfId="361" xr:uid="{00000000-0005-0000-0000-00006A010000}"/>
    <cellStyle name="Percent 2 2" xfId="362" xr:uid="{00000000-0005-0000-0000-00006B010000}"/>
    <cellStyle name="Percent 2 2 2" xfId="363" xr:uid="{00000000-0005-0000-0000-00006C010000}"/>
    <cellStyle name="Percent 2 3" xfId="364" xr:uid="{00000000-0005-0000-0000-00006D010000}"/>
    <cellStyle name="Percent 2 3 2" xfId="365" xr:uid="{00000000-0005-0000-0000-00006E010000}"/>
    <cellStyle name="Percent 2 4" xfId="366" xr:uid="{00000000-0005-0000-0000-00006F010000}"/>
    <cellStyle name="Percent 2 4 2" xfId="367" xr:uid="{00000000-0005-0000-0000-000070010000}"/>
    <cellStyle name="Percent 2 5" xfId="368" xr:uid="{00000000-0005-0000-0000-000071010000}"/>
    <cellStyle name="Percent 2 5 2" xfId="369" xr:uid="{00000000-0005-0000-0000-000072010000}"/>
    <cellStyle name="Percent 2 6" xfId="370" xr:uid="{00000000-0005-0000-0000-000073010000}"/>
    <cellStyle name="Percent 2 6 2" xfId="371" xr:uid="{00000000-0005-0000-0000-000074010000}"/>
    <cellStyle name="Percent 2 7" xfId="372" xr:uid="{00000000-0005-0000-0000-000075010000}"/>
    <cellStyle name="Percent 2 7 2" xfId="373" xr:uid="{00000000-0005-0000-0000-000076010000}"/>
    <cellStyle name="Percent 2 8" xfId="374" xr:uid="{00000000-0005-0000-0000-000077010000}"/>
    <cellStyle name="Percent 2 8 2" xfId="375" xr:uid="{00000000-0005-0000-0000-000078010000}"/>
    <cellStyle name="Percent 2 9" xfId="376" xr:uid="{00000000-0005-0000-0000-000079010000}"/>
    <cellStyle name="Percent 2 9 2" xfId="377" xr:uid="{00000000-0005-0000-0000-00007A01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112"/>
  <sheetViews>
    <sheetView showGridLines="0" tabSelected="1" topLeftCell="A57" zoomScale="70" zoomScaleNormal="70" workbookViewId="0">
      <selection activeCell="K79" sqref="K79"/>
    </sheetView>
  </sheetViews>
  <sheetFormatPr defaultColWidth="9.140625" defaultRowHeight="15.75" x14ac:dyDescent="0.25"/>
  <cols>
    <col min="1" max="1" width="8.140625" style="11" customWidth="1"/>
    <col min="2" max="2" width="13.42578125" style="16" customWidth="1"/>
    <col min="3" max="3" width="55.85546875" style="1" customWidth="1"/>
    <col min="4" max="4" width="12.7109375" style="1" customWidth="1"/>
    <col min="5" max="8" width="15.7109375" style="1" customWidth="1"/>
    <col min="9" max="9" width="24.140625" style="1" customWidth="1"/>
    <col min="10" max="10" width="15.7109375" style="1" customWidth="1"/>
    <col min="11" max="11" width="35.7109375" style="88" customWidth="1"/>
    <col min="12" max="12" width="9.140625" style="12"/>
    <col min="13" max="16384" width="9.140625" style="1"/>
  </cols>
  <sheetData>
    <row r="1" spans="1:12" ht="28.5" customHeight="1" x14ac:dyDescent="0.25">
      <c r="A1" s="29"/>
      <c r="B1" s="29"/>
      <c r="C1" s="81"/>
      <c r="D1" s="29"/>
      <c r="E1" s="30" t="s">
        <v>0</v>
      </c>
      <c r="F1" s="29"/>
      <c r="G1" s="29"/>
      <c r="H1" s="29"/>
      <c r="I1" s="29"/>
      <c r="J1" s="29"/>
      <c r="K1" s="30"/>
    </row>
    <row r="2" spans="1:12" ht="20.100000000000001" customHeight="1" x14ac:dyDescent="0.25">
      <c r="A2" s="1"/>
      <c r="B2" s="31" t="s">
        <v>121</v>
      </c>
      <c r="C2" s="95" t="str">
        <f>VLOOKUP(C3,'Master List'!$B$3:$E$363,3,0)</f>
        <v>CB0062</v>
      </c>
      <c r="D2" s="57"/>
      <c r="E2" s="57"/>
      <c r="F2" s="57"/>
      <c r="G2" s="3"/>
      <c r="H2" s="31" t="s">
        <v>122</v>
      </c>
      <c r="I2" s="72"/>
      <c r="J2" s="58"/>
      <c r="K2" s="26"/>
    </row>
    <row r="3" spans="1:12" ht="20.100000000000001" customHeight="1" x14ac:dyDescent="0.25">
      <c r="A3" s="33"/>
      <c r="B3" s="32" t="s">
        <v>123</v>
      </c>
      <c r="C3" s="93" t="s">
        <v>917</v>
      </c>
      <c r="D3" s="57"/>
      <c r="E3" s="57"/>
      <c r="F3" s="57"/>
      <c r="G3" s="3"/>
      <c r="H3" s="32" t="s">
        <v>124</v>
      </c>
      <c r="I3" s="94">
        <v>46905</v>
      </c>
      <c r="J3" s="59"/>
      <c r="K3" s="26"/>
    </row>
    <row r="4" spans="1:12" ht="20.100000000000001" customHeight="1" x14ac:dyDescent="0.25">
      <c r="A4" s="1"/>
      <c r="B4" s="33" t="s">
        <v>125</v>
      </c>
      <c r="C4" s="95" t="str">
        <f>VLOOKUP(C3,'Master List'!$B$3:$E$363,2,0)</f>
        <v>Fortportal</v>
      </c>
      <c r="D4" s="57"/>
      <c r="E4" s="57"/>
      <c r="F4" s="57"/>
      <c r="G4" s="3"/>
      <c r="H4" s="33" t="s">
        <v>126</v>
      </c>
      <c r="I4" s="92">
        <v>43616</v>
      </c>
      <c r="J4" s="60"/>
      <c r="K4" s="26"/>
    </row>
    <row r="5" spans="1:12" ht="21.75" customHeight="1" thickBot="1" x14ac:dyDescent="0.3">
      <c r="A5" s="44"/>
      <c r="B5" s="44" t="s">
        <v>127</v>
      </c>
      <c r="C5" s="95">
        <f>VLOOKUP(C3,'Master List'!$B$3:$E$363,4,0)</f>
        <v>1</v>
      </c>
      <c r="D5" s="44"/>
      <c r="E5" s="61"/>
      <c r="F5" s="61"/>
      <c r="G5" s="44"/>
      <c r="H5" s="44" t="s">
        <v>128</v>
      </c>
      <c r="I5" s="91">
        <v>43627</v>
      </c>
      <c r="J5" s="44"/>
      <c r="K5" s="44"/>
    </row>
    <row r="6" spans="1:12" ht="51" customHeight="1" x14ac:dyDescent="0.25">
      <c r="A6" s="97" t="s">
        <v>1</v>
      </c>
      <c r="B6" s="98" t="s">
        <v>107</v>
      </c>
      <c r="C6" s="99" t="s">
        <v>2</v>
      </c>
      <c r="D6" s="100" t="s">
        <v>106</v>
      </c>
      <c r="E6" s="100" t="s">
        <v>3</v>
      </c>
      <c r="F6" s="100" t="s">
        <v>4</v>
      </c>
      <c r="G6" s="112" t="s">
        <v>5</v>
      </c>
      <c r="H6" s="113" t="s">
        <v>6</v>
      </c>
      <c r="I6" s="113" t="s">
        <v>7</v>
      </c>
      <c r="J6" s="113" t="s">
        <v>8</v>
      </c>
      <c r="K6" s="114" t="s">
        <v>9</v>
      </c>
    </row>
    <row r="7" spans="1:12" ht="15.75" customHeight="1" x14ac:dyDescent="0.25">
      <c r="A7" s="17"/>
      <c r="B7" s="49"/>
      <c r="C7" s="48"/>
      <c r="D7" s="5" t="s">
        <v>10</v>
      </c>
      <c r="E7" s="4" t="s">
        <v>11</v>
      </c>
      <c r="F7" s="4" t="s">
        <v>12</v>
      </c>
      <c r="G7" s="4" t="s">
        <v>13</v>
      </c>
      <c r="H7" s="4" t="s">
        <v>14</v>
      </c>
      <c r="I7" s="4" t="s">
        <v>15</v>
      </c>
      <c r="J7" s="5" t="s">
        <v>16</v>
      </c>
      <c r="K7" s="18"/>
    </row>
    <row r="8" spans="1:12" ht="15.4" customHeight="1" x14ac:dyDescent="0.25">
      <c r="A8" s="101"/>
      <c r="B8" s="102"/>
      <c r="C8" s="103" t="s">
        <v>17</v>
      </c>
      <c r="D8" s="104"/>
      <c r="E8" s="104"/>
      <c r="F8" s="104"/>
      <c r="G8" s="104"/>
      <c r="H8" s="104"/>
      <c r="I8" s="104"/>
      <c r="J8" s="104"/>
      <c r="K8" s="115"/>
    </row>
    <row r="9" spans="1:12" customFormat="1" ht="17.100000000000001" customHeight="1" x14ac:dyDescent="0.2">
      <c r="A9" s="17">
        <v>1</v>
      </c>
      <c r="B9" s="14">
        <v>180098</v>
      </c>
      <c r="C9" s="6" t="s">
        <v>115</v>
      </c>
      <c r="D9" s="5">
        <v>1</v>
      </c>
      <c r="E9" s="42">
        <v>1485</v>
      </c>
      <c r="F9" s="42">
        <v>12098</v>
      </c>
      <c r="G9" s="42">
        <f>(E9+F9)-I9</f>
        <v>12399</v>
      </c>
      <c r="H9" s="42">
        <v>0</v>
      </c>
      <c r="I9" s="42">
        <v>1184</v>
      </c>
      <c r="J9" s="117">
        <v>23614</v>
      </c>
      <c r="K9" s="43"/>
      <c r="L9" s="116"/>
    </row>
    <row r="10" spans="1:12" ht="15" hidden="1" customHeight="1" x14ac:dyDescent="0.25">
      <c r="A10" s="73">
        <v>2</v>
      </c>
      <c r="B10" s="74">
        <v>180045</v>
      </c>
      <c r="C10" s="75" t="s">
        <v>18</v>
      </c>
      <c r="D10" s="5">
        <v>1</v>
      </c>
      <c r="E10" s="42">
        <v>0</v>
      </c>
      <c r="F10" s="42"/>
      <c r="G10" s="42">
        <f t="shared" ref="G10:G12" si="0">(E10+F10)-I10</f>
        <v>0</v>
      </c>
      <c r="H10" s="42"/>
      <c r="I10" s="42"/>
      <c r="J10" s="117">
        <v>23614</v>
      </c>
      <c r="K10" s="43"/>
    </row>
    <row r="11" spans="1:12" ht="15" customHeight="1" x14ac:dyDescent="0.25">
      <c r="A11" s="17">
        <v>3</v>
      </c>
      <c r="B11" s="14">
        <v>180058</v>
      </c>
      <c r="C11" s="6" t="s">
        <v>93</v>
      </c>
      <c r="D11" s="5">
        <v>1</v>
      </c>
      <c r="E11" s="42">
        <v>0</v>
      </c>
      <c r="F11" s="42">
        <v>0</v>
      </c>
      <c r="G11" s="42">
        <f t="shared" si="0"/>
        <v>0</v>
      </c>
      <c r="H11" s="42">
        <v>0</v>
      </c>
      <c r="I11" s="42">
        <v>0</v>
      </c>
      <c r="J11" s="117">
        <v>0</v>
      </c>
      <c r="K11" s="43"/>
    </row>
    <row r="12" spans="1:12" ht="15" customHeight="1" x14ac:dyDescent="0.25">
      <c r="A12" s="17">
        <v>4</v>
      </c>
      <c r="B12" s="14">
        <v>180076</v>
      </c>
      <c r="C12" s="6" t="s">
        <v>92</v>
      </c>
      <c r="D12" s="5">
        <v>1</v>
      </c>
      <c r="E12" s="42">
        <v>0</v>
      </c>
      <c r="F12" s="42">
        <v>0</v>
      </c>
      <c r="G12" s="42">
        <f t="shared" si="0"/>
        <v>0</v>
      </c>
      <c r="H12" s="42">
        <v>0</v>
      </c>
      <c r="I12" s="42">
        <v>0</v>
      </c>
      <c r="J12" s="117">
        <v>0</v>
      </c>
      <c r="K12" s="43"/>
    </row>
    <row r="13" spans="1:12" ht="15" hidden="1" customHeight="1" x14ac:dyDescent="0.25">
      <c r="A13" s="73">
        <v>5</v>
      </c>
      <c r="B13" s="74">
        <v>180078</v>
      </c>
      <c r="C13" s="75" t="s">
        <v>91</v>
      </c>
      <c r="D13" s="5">
        <v>1</v>
      </c>
      <c r="E13" s="42"/>
      <c r="F13" s="42"/>
      <c r="G13" s="42"/>
      <c r="H13" s="42"/>
      <c r="I13" s="42"/>
      <c r="J13" s="96"/>
      <c r="K13" s="43"/>
    </row>
    <row r="14" spans="1:12" ht="17.100000000000001" hidden="1" customHeight="1" x14ac:dyDescent="0.25">
      <c r="A14" s="101"/>
      <c r="B14" s="105"/>
      <c r="C14" s="103" t="s">
        <v>19</v>
      </c>
      <c r="D14" s="104"/>
      <c r="E14" s="62"/>
      <c r="F14" s="62"/>
      <c r="G14" s="62"/>
      <c r="H14" s="62"/>
      <c r="I14" s="62"/>
      <c r="J14" s="62"/>
      <c r="K14" s="82"/>
    </row>
    <row r="15" spans="1:12" ht="15" hidden="1" customHeight="1" x14ac:dyDescent="0.25">
      <c r="A15" s="17">
        <v>1</v>
      </c>
      <c r="B15" s="14">
        <v>180027</v>
      </c>
      <c r="C15" s="6" t="s">
        <v>20</v>
      </c>
      <c r="D15" s="5">
        <v>1</v>
      </c>
      <c r="E15" s="42"/>
      <c r="F15" s="42"/>
      <c r="G15" s="42"/>
      <c r="H15" s="42"/>
      <c r="I15" s="42"/>
      <c r="J15" s="96"/>
      <c r="K15" s="43"/>
    </row>
    <row r="16" spans="1:12" ht="15" hidden="1" customHeight="1" x14ac:dyDescent="0.25">
      <c r="A16" s="17">
        <v>2</v>
      </c>
      <c r="B16" s="14">
        <v>180028</v>
      </c>
      <c r="C16" s="6" t="s">
        <v>21</v>
      </c>
      <c r="D16" s="5">
        <v>1</v>
      </c>
      <c r="E16" s="42"/>
      <c r="F16" s="42"/>
      <c r="G16" s="42"/>
      <c r="H16" s="42"/>
      <c r="I16" s="42"/>
      <c r="J16" s="96"/>
      <c r="K16" s="43"/>
    </row>
    <row r="17" spans="1:11" ht="15" hidden="1" customHeight="1" x14ac:dyDescent="0.25">
      <c r="A17" s="17">
        <v>3</v>
      </c>
      <c r="B17" s="14">
        <v>180029</v>
      </c>
      <c r="C17" s="6" t="s">
        <v>22</v>
      </c>
      <c r="D17" s="5">
        <v>1</v>
      </c>
      <c r="E17" s="42"/>
      <c r="F17" s="42"/>
      <c r="G17" s="42"/>
      <c r="H17" s="42"/>
      <c r="I17" s="42"/>
      <c r="J17" s="96"/>
      <c r="K17" s="43"/>
    </row>
    <row r="18" spans="1:11" ht="15" hidden="1" customHeight="1" x14ac:dyDescent="0.25">
      <c r="A18" s="17">
        <v>4</v>
      </c>
      <c r="B18" s="14">
        <v>180030</v>
      </c>
      <c r="C18" s="6" t="s">
        <v>23</v>
      </c>
      <c r="D18" s="5">
        <v>1</v>
      </c>
      <c r="E18" s="42"/>
      <c r="F18" s="42"/>
      <c r="G18" s="42"/>
      <c r="H18" s="42"/>
      <c r="I18" s="42"/>
      <c r="J18" s="96"/>
      <c r="K18" s="43"/>
    </row>
    <row r="19" spans="1:11" ht="15" hidden="1" customHeight="1" x14ac:dyDescent="0.25">
      <c r="A19" s="17">
        <v>5</v>
      </c>
      <c r="B19" s="14">
        <v>180031</v>
      </c>
      <c r="C19" s="6" t="s">
        <v>24</v>
      </c>
      <c r="D19" s="5">
        <v>1</v>
      </c>
      <c r="E19" s="42"/>
      <c r="F19" s="42"/>
      <c r="G19" s="42"/>
      <c r="H19" s="42"/>
      <c r="I19" s="42"/>
      <c r="J19" s="96"/>
      <c r="K19" s="43"/>
    </row>
    <row r="20" spans="1:11" ht="15" hidden="1" customHeight="1" x14ac:dyDescent="0.25">
      <c r="A20" s="17">
        <v>6</v>
      </c>
      <c r="B20" s="14">
        <v>180035</v>
      </c>
      <c r="C20" s="6" t="s">
        <v>25</v>
      </c>
      <c r="D20" s="5">
        <v>1</v>
      </c>
      <c r="E20" s="42"/>
      <c r="F20" s="42"/>
      <c r="G20" s="42"/>
      <c r="H20" s="42"/>
      <c r="I20" s="42"/>
      <c r="J20" s="96"/>
      <c r="K20" s="43"/>
    </row>
    <row r="21" spans="1:11" ht="15" hidden="1" customHeight="1" x14ac:dyDescent="0.25">
      <c r="A21" s="17">
        <v>7</v>
      </c>
      <c r="B21" s="14">
        <v>180061</v>
      </c>
      <c r="C21" s="6" t="s">
        <v>26</v>
      </c>
      <c r="D21" s="5">
        <v>1</v>
      </c>
      <c r="E21" s="42"/>
      <c r="F21" s="42"/>
      <c r="G21" s="42"/>
      <c r="H21" s="42"/>
      <c r="I21" s="42"/>
      <c r="J21" s="96"/>
      <c r="K21" s="43"/>
    </row>
    <row r="22" spans="1:11" ht="15" hidden="1" customHeight="1" x14ac:dyDescent="0.25">
      <c r="A22" s="17">
        <v>8</v>
      </c>
      <c r="B22" s="14">
        <v>180081</v>
      </c>
      <c r="C22" s="6" t="s">
        <v>113</v>
      </c>
      <c r="D22" s="5">
        <v>100</v>
      </c>
      <c r="E22" s="42"/>
      <c r="F22" s="42"/>
      <c r="G22" s="42"/>
      <c r="H22" s="42"/>
      <c r="I22" s="42"/>
      <c r="J22" s="96"/>
      <c r="K22" s="43"/>
    </row>
    <row r="23" spans="1:11" ht="15" hidden="1" customHeight="1" x14ac:dyDescent="0.25">
      <c r="A23" s="17">
        <v>9</v>
      </c>
      <c r="B23" s="14">
        <v>180032</v>
      </c>
      <c r="C23" s="6" t="s">
        <v>72</v>
      </c>
      <c r="D23" s="5">
        <v>1</v>
      </c>
      <c r="E23" s="42"/>
      <c r="F23" s="42"/>
      <c r="G23" s="42"/>
      <c r="H23" s="42"/>
      <c r="I23" s="42"/>
      <c r="J23" s="96"/>
      <c r="K23" s="43"/>
    </row>
    <row r="24" spans="1:11" ht="15" hidden="1" customHeight="1" x14ac:dyDescent="0.25">
      <c r="A24" s="17">
        <v>10</v>
      </c>
      <c r="B24" s="14">
        <v>180034</v>
      </c>
      <c r="C24" s="6" t="s">
        <v>73</v>
      </c>
      <c r="D24" s="5">
        <v>1</v>
      </c>
      <c r="E24" s="42"/>
      <c r="F24" s="42"/>
      <c r="G24" s="42"/>
      <c r="H24" s="42"/>
      <c r="I24" s="42"/>
      <c r="J24" s="96"/>
      <c r="K24" s="43"/>
    </row>
    <row r="25" spans="1:11" ht="15" hidden="1" customHeight="1" x14ac:dyDescent="0.25">
      <c r="A25" s="17">
        <v>11</v>
      </c>
      <c r="B25" s="14">
        <v>180033</v>
      </c>
      <c r="C25" s="6" t="s">
        <v>74</v>
      </c>
      <c r="D25" s="5">
        <v>1</v>
      </c>
      <c r="E25" s="42"/>
      <c r="F25" s="42"/>
      <c r="G25" s="42"/>
      <c r="H25" s="42"/>
      <c r="I25" s="42"/>
      <c r="J25" s="96"/>
      <c r="K25" s="43"/>
    </row>
    <row r="26" spans="1:11" ht="15" hidden="1" customHeight="1" x14ac:dyDescent="0.25">
      <c r="A26" s="17">
        <v>12</v>
      </c>
      <c r="B26" s="14">
        <v>180056</v>
      </c>
      <c r="C26" s="13" t="s">
        <v>75</v>
      </c>
      <c r="D26" s="5">
        <v>1</v>
      </c>
      <c r="E26" s="42"/>
      <c r="F26" s="42"/>
      <c r="G26" s="42"/>
      <c r="H26" s="42"/>
      <c r="I26" s="42"/>
      <c r="J26" s="96"/>
      <c r="K26" s="43"/>
    </row>
    <row r="27" spans="1:11" ht="15" hidden="1" customHeight="1" x14ac:dyDescent="0.25">
      <c r="A27" s="17">
        <v>13</v>
      </c>
      <c r="B27" s="14">
        <v>180049</v>
      </c>
      <c r="C27" s="67" t="s">
        <v>102</v>
      </c>
      <c r="D27" s="5">
        <v>100</v>
      </c>
      <c r="E27" s="42"/>
      <c r="F27" s="42"/>
      <c r="G27" s="42"/>
      <c r="H27" s="42"/>
      <c r="I27" s="42"/>
      <c r="J27" s="96"/>
      <c r="K27" s="43"/>
    </row>
    <row r="28" spans="1:11" ht="15" hidden="1" customHeight="1" x14ac:dyDescent="0.25">
      <c r="A28" s="17">
        <v>14</v>
      </c>
      <c r="B28" s="14">
        <v>180021</v>
      </c>
      <c r="C28" s="68" t="s">
        <v>103</v>
      </c>
      <c r="D28" s="5">
        <v>1</v>
      </c>
      <c r="E28" s="42"/>
      <c r="F28" s="42"/>
      <c r="G28" s="42"/>
      <c r="H28" s="42"/>
      <c r="I28" s="42"/>
      <c r="J28" s="96"/>
      <c r="K28" s="43"/>
    </row>
    <row r="29" spans="1:11" ht="15" hidden="1" customHeight="1" x14ac:dyDescent="0.25">
      <c r="A29" s="17">
        <v>15</v>
      </c>
      <c r="B29" s="69">
        <v>180082</v>
      </c>
      <c r="C29" s="68" t="s">
        <v>101</v>
      </c>
      <c r="D29" s="5">
        <v>1</v>
      </c>
      <c r="E29" s="42"/>
      <c r="F29" s="42"/>
      <c r="G29" s="42"/>
      <c r="H29" s="42"/>
      <c r="I29" s="42"/>
      <c r="J29" s="96"/>
      <c r="K29" s="43"/>
    </row>
    <row r="30" spans="1:11" ht="15" customHeight="1" x14ac:dyDescent="0.25">
      <c r="A30" s="101"/>
      <c r="B30" s="102"/>
      <c r="C30" s="103" t="s">
        <v>100</v>
      </c>
      <c r="D30" s="104"/>
      <c r="E30" s="62"/>
      <c r="F30" s="62"/>
      <c r="G30" s="62"/>
      <c r="H30" s="62"/>
      <c r="I30" s="62"/>
      <c r="J30" s="62"/>
      <c r="K30" s="82"/>
    </row>
    <row r="31" spans="1:11" ht="15" customHeight="1" x14ac:dyDescent="0.25">
      <c r="A31" s="17">
        <v>1</v>
      </c>
      <c r="B31" s="14">
        <v>130033</v>
      </c>
      <c r="C31" s="13" t="s">
        <v>82</v>
      </c>
      <c r="D31" s="5" t="s">
        <v>84</v>
      </c>
      <c r="E31" s="42">
        <v>5800</v>
      </c>
      <c r="F31" s="42">
        <v>86</v>
      </c>
      <c r="G31" s="42">
        <f>(E31+F31)-I31</f>
        <v>2686</v>
      </c>
      <c r="H31" s="42">
        <v>0</v>
      </c>
      <c r="I31" s="42">
        <v>3200</v>
      </c>
      <c r="J31" s="96">
        <f>(2*G31)-I31</f>
        <v>2172</v>
      </c>
      <c r="K31" s="43"/>
    </row>
    <row r="32" spans="1:11" ht="15" customHeight="1" x14ac:dyDescent="0.25">
      <c r="A32" s="17">
        <v>2</v>
      </c>
      <c r="B32" s="14">
        <v>130001</v>
      </c>
      <c r="C32" s="13" t="s">
        <v>83</v>
      </c>
      <c r="D32" s="5" t="s">
        <v>84</v>
      </c>
      <c r="E32" s="42">
        <v>58</v>
      </c>
      <c r="F32" s="42">
        <v>86</v>
      </c>
      <c r="G32" s="42">
        <v>0</v>
      </c>
      <c r="H32" s="42">
        <v>12</v>
      </c>
      <c r="I32" s="42">
        <v>156</v>
      </c>
      <c r="J32" s="96">
        <f t="shared" ref="J32:J35" si="1">(2*G32)-I32</f>
        <v>-156</v>
      </c>
      <c r="K32" s="43"/>
    </row>
    <row r="33" spans="1:12" ht="15" customHeight="1" x14ac:dyDescent="0.25">
      <c r="A33" s="17">
        <v>3</v>
      </c>
      <c r="B33" s="14">
        <v>130003</v>
      </c>
      <c r="C33" s="6" t="s">
        <v>85</v>
      </c>
      <c r="D33" s="5" t="s">
        <v>84</v>
      </c>
      <c r="E33" s="42">
        <v>510</v>
      </c>
      <c r="F33" s="42">
        <v>28</v>
      </c>
      <c r="G33" s="42">
        <f t="shared" ref="G33:G35" si="2">(E33+F33)-I33</f>
        <v>198</v>
      </c>
      <c r="H33" s="42">
        <v>0</v>
      </c>
      <c r="I33" s="42">
        <v>340</v>
      </c>
      <c r="J33" s="96">
        <f t="shared" si="1"/>
        <v>56</v>
      </c>
      <c r="K33" s="43"/>
    </row>
    <row r="34" spans="1:12" ht="15" hidden="1" customHeight="1" x14ac:dyDescent="0.25">
      <c r="A34" s="17">
        <v>4</v>
      </c>
      <c r="B34" s="14">
        <v>130046</v>
      </c>
      <c r="C34" s="6" t="s">
        <v>135</v>
      </c>
      <c r="D34" s="5" t="s">
        <v>84</v>
      </c>
      <c r="E34" s="42">
        <v>175</v>
      </c>
      <c r="F34" s="42"/>
      <c r="G34" s="42">
        <f t="shared" si="2"/>
        <v>175</v>
      </c>
      <c r="H34" s="42"/>
      <c r="I34" s="42"/>
      <c r="J34" s="96">
        <f t="shared" si="1"/>
        <v>350</v>
      </c>
      <c r="K34" s="43"/>
    </row>
    <row r="35" spans="1:12" ht="15" hidden="1" customHeight="1" x14ac:dyDescent="0.25">
      <c r="A35" s="17">
        <v>5</v>
      </c>
      <c r="B35" s="14">
        <v>130006</v>
      </c>
      <c r="C35" s="6" t="s">
        <v>116</v>
      </c>
      <c r="D35" s="5" t="s">
        <v>84</v>
      </c>
      <c r="E35" s="42"/>
      <c r="F35" s="42"/>
      <c r="G35" s="42">
        <f t="shared" si="2"/>
        <v>0</v>
      </c>
      <c r="H35" s="42"/>
      <c r="I35" s="42"/>
      <c r="J35" s="96">
        <f t="shared" si="1"/>
        <v>0</v>
      </c>
      <c r="K35" s="43"/>
      <c r="L35" s="116"/>
    </row>
    <row r="36" spans="1:12" ht="15" customHeight="1" x14ac:dyDescent="0.25">
      <c r="A36" s="17">
        <v>6</v>
      </c>
      <c r="B36" s="14">
        <v>130007</v>
      </c>
      <c r="C36" s="6" t="s">
        <v>920</v>
      </c>
      <c r="D36" s="5" t="s">
        <v>84</v>
      </c>
      <c r="E36" s="42">
        <v>175</v>
      </c>
      <c r="F36" s="42">
        <v>13</v>
      </c>
      <c r="G36" s="42">
        <v>0</v>
      </c>
      <c r="H36" s="42">
        <v>90</v>
      </c>
      <c r="I36" s="42">
        <v>278</v>
      </c>
      <c r="J36" s="96">
        <f>(2*G36)-I36</f>
        <v>-278</v>
      </c>
      <c r="K36" s="43"/>
      <c r="L36" s="116"/>
    </row>
    <row r="37" spans="1:12" ht="17.100000000000001" customHeight="1" x14ac:dyDescent="0.25">
      <c r="A37" s="101"/>
      <c r="B37" s="105"/>
      <c r="C37" s="103" t="s">
        <v>27</v>
      </c>
      <c r="D37" s="104"/>
      <c r="E37" s="62"/>
      <c r="F37" s="62"/>
      <c r="G37" s="62"/>
      <c r="H37" s="62"/>
      <c r="I37" s="62"/>
      <c r="J37" s="62"/>
      <c r="K37" s="82"/>
    </row>
    <row r="38" spans="1:12" ht="15" customHeight="1" x14ac:dyDescent="0.25">
      <c r="A38" s="17">
        <v>1</v>
      </c>
      <c r="B38" s="14">
        <v>180005</v>
      </c>
      <c r="C38" s="6" t="s">
        <v>81</v>
      </c>
      <c r="D38" s="5" t="s">
        <v>94</v>
      </c>
      <c r="E38" s="42">
        <v>1013</v>
      </c>
      <c r="F38" s="42">
        <v>3785</v>
      </c>
      <c r="G38" s="42">
        <f>(E38+F38)-I38</f>
        <v>2192</v>
      </c>
      <c r="H38" s="42">
        <v>0</v>
      </c>
      <c r="I38" s="42">
        <v>2606</v>
      </c>
      <c r="J38" s="117">
        <v>1778</v>
      </c>
      <c r="K38" s="43"/>
    </row>
    <row r="39" spans="1:12" ht="15" customHeight="1" x14ac:dyDescent="0.25">
      <c r="A39" s="17">
        <v>2</v>
      </c>
      <c r="B39" s="14">
        <v>180025</v>
      </c>
      <c r="C39" s="6" t="s">
        <v>120</v>
      </c>
      <c r="D39" s="5" t="s">
        <v>94</v>
      </c>
      <c r="E39" s="42">
        <v>256</v>
      </c>
      <c r="F39" s="42">
        <v>4542</v>
      </c>
      <c r="G39" s="42">
        <f t="shared" ref="G39:G65" si="3">(E39+F39)-I39</f>
        <v>1786</v>
      </c>
      <c r="H39" s="42">
        <v>0</v>
      </c>
      <c r="I39" s="42">
        <v>3012</v>
      </c>
      <c r="J39" s="117">
        <v>560</v>
      </c>
      <c r="K39" s="43"/>
    </row>
    <row r="40" spans="1:12" ht="15" customHeight="1" x14ac:dyDescent="0.25">
      <c r="A40" s="17">
        <v>3</v>
      </c>
      <c r="B40" s="14">
        <v>180040</v>
      </c>
      <c r="C40" s="6" t="s">
        <v>28</v>
      </c>
      <c r="D40" s="5" t="s">
        <v>78</v>
      </c>
      <c r="E40" s="42">
        <v>1852</v>
      </c>
      <c r="F40" s="42">
        <v>0</v>
      </c>
      <c r="G40" s="42">
        <f t="shared" si="3"/>
        <v>781</v>
      </c>
      <c r="H40" s="42">
        <v>0</v>
      </c>
      <c r="I40" s="42">
        <v>1071</v>
      </c>
      <c r="J40" s="117">
        <v>491</v>
      </c>
      <c r="K40" s="43"/>
    </row>
    <row r="41" spans="1:12" ht="15" customHeight="1" x14ac:dyDescent="0.25">
      <c r="A41" s="17">
        <v>4</v>
      </c>
      <c r="B41" s="14">
        <v>180006</v>
      </c>
      <c r="C41" s="6" t="s">
        <v>29</v>
      </c>
      <c r="D41" s="5">
        <v>1000</v>
      </c>
      <c r="E41" s="42">
        <v>87</v>
      </c>
      <c r="F41" s="42">
        <v>198</v>
      </c>
      <c r="G41" s="42">
        <f t="shared" si="3"/>
        <v>212</v>
      </c>
      <c r="H41" s="42">
        <v>0</v>
      </c>
      <c r="I41" s="42">
        <v>73</v>
      </c>
      <c r="J41" s="117">
        <v>351</v>
      </c>
      <c r="K41" s="43"/>
    </row>
    <row r="42" spans="1:12" ht="15" customHeight="1" x14ac:dyDescent="0.25">
      <c r="A42" s="17">
        <v>5</v>
      </c>
      <c r="B42" s="14">
        <v>180057</v>
      </c>
      <c r="C42" s="6" t="s">
        <v>30</v>
      </c>
      <c r="D42" s="5" t="s">
        <v>77</v>
      </c>
      <c r="E42" s="42">
        <v>69</v>
      </c>
      <c r="F42" s="42">
        <v>112</v>
      </c>
      <c r="G42" s="42">
        <f t="shared" si="3"/>
        <v>147</v>
      </c>
      <c r="H42" s="42">
        <v>0</v>
      </c>
      <c r="I42" s="42">
        <v>34</v>
      </c>
      <c r="J42" s="117">
        <v>260</v>
      </c>
      <c r="K42" s="43"/>
    </row>
    <row r="43" spans="1:12" ht="15" customHeight="1" x14ac:dyDescent="0.25">
      <c r="A43" s="17">
        <v>6</v>
      </c>
      <c r="B43" s="14">
        <v>180001</v>
      </c>
      <c r="C43" s="6" t="s">
        <v>31</v>
      </c>
      <c r="D43" s="5" t="s">
        <v>76</v>
      </c>
      <c r="E43" s="42">
        <v>53</v>
      </c>
      <c r="F43" s="42">
        <v>0</v>
      </c>
      <c r="G43" s="42">
        <v>40</v>
      </c>
      <c r="H43" s="42">
        <v>0</v>
      </c>
      <c r="I43" s="42">
        <v>25</v>
      </c>
      <c r="J43" s="117">
        <v>55</v>
      </c>
      <c r="K43" s="43"/>
    </row>
    <row r="44" spans="1:12" ht="15" customHeight="1" x14ac:dyDescent="0.25">
      <c r="A44" s="17">
        <v>7</v>
      </c>
      <c r="B44" s="14">
        <v>180008</v>
      </c>
      <c r="C44" s="6" t="s">
        <v>32</v>
      </c>
      <c r="D44" s="5">
        <v>100</v>
      </c>
      <c r="E44" s="42">
        <v>62</v>
      </c>
      <c r="F44" s="42">
        <v>0</v>
      </c>
      <c r="G44" s="42">
        <f t="shared" si="3"/>
        <v>61</v>
      </c>
      <c r="H44" s="42">
        <v>0</v>
      </c>
      <c r="I44" s="42">
        <v>1</v>
      </c>
      <c r="J44" s="117">
        <v>121</v>
      </c>
      <c r="K44" s="43"/>
    </row>
    <row r="45" spans="1:12" ht="15" customHeight="1" x14ac:dyDescent="0.25">
      <c r="A45" s="17">
        <v>8</v>
      </c>
      <c r="B45" s="14">
        <v>180046</v>
      </c>
      <c r="C45" s="6" t="s">
        <v>33</v>
      </c>
      <c r="D45" s="5" t="s">
        <v>76</v>
      </c>
      <c r="E45" s="42">
        <v>88</v>
      </c>
      <c r="F45" s="42">
        <v>0</v>
      </c>
      <c r="G45" s="42">
        <f t="shared" si="3"/>
        <v>51</v>
      </c>
      <c r="H45" s="42">
        <v>0</v>
      </c>
      <c r="I45" s="42">
        <v>37</v>
      </c>
      <c r="J45" s="117">
        <v>65</v>
      </c>
      <c r="K45" s="43"/>
    </row>
    <row r="46" spans="1:12" ht="15" customHeight="1" x14ac:dyDescent="0.25">
      <c r="A46" s="17">
        <v>9</v>
      </c>
      <c r="B46" s="14">
        <v>180050</v>
      </c>
      <c r="C46" s="68" t="s">
        <v>108</v>
      </c>
      <c r="D46" s="5" t="s">
        <v>34</v>
      </c>
      <c r="E46" s="42">
        <v>0</v>
      </c>
      <c r="F46" s="42">
        <v>0</v>
      </c>
      <c r="G46" s="42">
        <f t="shared" si="3"/>
        <v>0</v>
      </c>
      <c r="H46" s="42">
        <v>0</v>
      </c>
      <c r="I46" s="42">
        <v>0</v>
      </c>
      <c r="J46" s="117">
        <v>0</v>
      </c>
      <c r="K46" s="43"/>
    </row>
    <row r="47" spans="1:12" ht="15" customHeight="1" x14ac:dyDescent="0.25">
      <c r="A47" s="17">
        <v>10</v>
      </c>
      <c r="B47" s="14">
        <v>180092</v>
      </c>
      <c r="C47" s="68" t="s">
        <v>109</v>
      </c>
      <c r="D47" s="5" t="s">
        <v>34</v>
      </c>
      <c r="E47" s="42">
        <v>679</v>
      </c>
      <c r="F47" s="42">
        <v>0</v>
      </c>
      <c r="G47" s="42">
        <f t="shared" si="3"/>
        <v>678</v>
      </c>
      <c r="H47" s="42">
        <v>0</v>
      </c>
      <c r="I47" s="42">
        <v>1</v>
      </c>
      <c r="J47" s="117">
        <v>1355</v>
      </c>
      <c r="K47" s="43"/>
    </row>
    <row r="48" spans="1:12" ht="15" customHeight="1" x14ac:dyDescent="0.25">
      <c r="A48" s="17">
        <v>11</v>
      </c>
      <c r="B48" s="14">
        <v>180093</v>
      </c>
      <c r="C48" s="68" t="s">
        <v>110</v>
      </c>
      <c r="D48" s="5" t="s">
        <v>34</v>
      </c>
      <c r="E48" s="42">
        <v>0</v>
      </c>
      <c r="F48" s="42">
        <v>0</v>
      </c>
      <c r="G48" s="42">
        <f t="shared" si="3"/>
        <v>0</v>
      </c>
      <c r="H48" s="42">
        <v>0</v>
      </c>
      <c r="I48" s="42">
        <v>0</v>
      </c>
      <c r="J48" s="117">
        <v>0</v>
      </c>
      <c r="K48" s="43"/>
    </row>
    <row r="49" spans="1:12" ht="15" customHeight="1" x14ac:dyDescent="0.25">
      <c r="A49" s="17">
        <v>12</v>
      </c>
      <c r="B49" s="14">
        <v>180106</v>
      </c>
      <c r="C49" s="68" t="s">
        <v>117</v>
      </c>
      <c r="D49" s="5">
        <v>100</v>
      </c>
      <c r="E49" s="42">
        <v>0</v>
      </c>
      <c r="F49" s="42">
        <v>0</v>
      </c>
      <c r="G49" s="42">
        <f t="shared" si="3"/>
        <v>0</v>
      </c>
      <c r="H49" s="42">
        <v>0</v>
      </c>
      <c r="I49" s="42">
        <v>0</v>
      </c>
      <c r="J49" s="117">
        <v>0</v>
      </c>
      <c r="K49" s="43"/>
      <c r="L49" s="116"/>
    </row>
    <row r="50" spans="1:12" ht="15" customHeight="1" x14ac:dyDescent="0.25">
      <c r="A50" s="17">
        <v>13</v>
      </c>
      <c r="B50" s="14">
        <v>180079</v>
      </c>
      <c r="C50" s="68" t="s">
        <v>118</v>
      </c>
      <c r="D50" s="5">
        <v>100</v>
      </c>
      <c r="E50" s="42">
        <v>12</v>
      </c>
      <c r="F50" s="42">
        <v>100</v>
      </c>
      <c r="G50" s="42">
        <f t="shared" si="3"/>
        <v>112</v>
      </c>
      <c r="H50" s="42">
        <v>0</v>
      </c>
      <c r="I50" s="42">
        <v>0</v>
      </c>
      <c r="J50" s="117">
        <v>224</v>
      </c>
      <c r="K50" s="43"/>
      <c r="L50" s="116"/>
    </row>
    <row r="51" spans="1:12" ht="15" customHeight="1" x14ac:dyDescent="0.25">
      <c r="A51" s="17">
        <v>14</v>
      </c>
      <c r="B51" s="14">
        <v>180105</v>
      </c>
      <c r="C51" s="68" t="s">
        <v>119</v>
      </c>
      <c r="D51" s="5">
        <v>100</v>
      </c>
      <c r="E51" s="42">
        <v>0</v>
      </c>
      <c r="F51" s="42">
        <v>0</v>
      </c>
      <c r="G51" s="42">
        <v>3</v>
      </c>
      <c r="H51" s="42">
        <v>3</v>
      </c>
      <c r="I51" s="42">
        <v>3</v>
      </c>
      <c r="J51" s="117">
        <v>3</v>
      </c>
      <c r="K51" s="43"/>
      <c r="L51" s="116"/>
    </row>
    <row r="52" spans="1:12" ht="15" hidden="1" customHeight="1" x14ac:dyDescent="0.25">
      <c r="A52" s="17">
        <v>15</v>
      </c>
      <c r="B52" s="14">
        <v>180083</v>
      </c>
      <c r="C52" s="6" t="s">
        <v>86</v>
      </c>
      <c r="D52" s="5" t="s">
        <v>34</v>
      </c>
      <c r="E52" s="42"/>
      <c r="F52" s="42"/>
      <c r="G52" s="42">
        <f t="shared" si="3"/>
        <v>0</v>
      </c>
      <c r="H52" s="42"/>
      <c r="I52" s="42"/>
      <c r="J52" s="117">
        <v>1778</v>
      </c>
      <c r="K52" s="43"/>
    </row>
    <row r="53" spans="1:12" ht="15" hidden="1" customHeight="1" x14ac:dyDescent="0.25">
      <c r="A53" s="17">
        <v>16</v>
      </c>
      <c r="B53" s="14">
        <v>180084</v>
      </c>
      <c r="C53" s="6" t="s">
        <v>87</v>
      </c>
      <c r="D53" s="5" t="s">
        <v>34</v>
      </c>
      <c r="E53" s="42"/>
      <c r="F53" s="42"/>
      <c r="G53" s="42">
        <f t="shared" si="3"/>
        <v>0</v>
      </c>
      <c r="H53" s="42"/>
      <c r="I53" s="42"/>
      <c r="J53" s="117">
        <v>1778</v>
      </c>
      <c r="K53" s="43"/>
    </row>
    <row r="54" spans="1:12" ht="15" hidden="1" customHeight="1" x14ac:dyDescent="0.25">
      <c r="A54" s="17">
        <v>17</v>
      </c>
      <c r="B54" s="14">
        <v>180085</v>
      </c>
      <c r="C54" s="6" t="s">
        <v>88</v>
      </c>
      <c r="D54" s="5" t="s">
        <v>34</v>
      </c>
      <c r="E54" s="42"/>
      <c r="F54" s="42"/>
      <c r="G54" s="42">
        <f t="shared" si="3"/>
        <v>0</v>
      </c>
      <c r="H54" s="42"/>
      <c r="I54" s="42"/>
      <c r="J54" s="117">
        <v>1778</v>
      </c>
      <c r="K54" s="43"/>
    </row>
    <row r="55" spans="1:12" ht="15" customHeight="1" x14ac:dyDescent="0.25">
      <c r="A55" s="17">
        <v>18</v>
      </c>
      <c r="B55" s="14">
        <v>180009</v>
      </c>
      <c r="C55" s="6" t="s">
        <v>35</v>
      </c>
      <c r="D55" s="5" t="s">
        <v>58</v>
      </c>
      <c r="E55" s="42">
        <v>94</v>
      </c>
      <c r="F55" s="42">
        <v>9</v>
      </c>
      <c r="G55" s="42">
        <f t="shared" si="3"/>
        <v>46</v>
      </c>
      <c r="H55" s="42">
        <v>0</v>
      </c>
      <c r="I55" s="42">
        <v>57</v>
      </c>
      <c r="J55" s="117">
        <v>35</v>
      </c>
      <c r="K55" s="43"/>
    </row>
    <row r="56" spans="1:12" ht="15" customHeight="1" x14ac:dyDescent="0.25">
      <c r="A56" s="17">
        <v>19</v>
      </c>
      <c r="B56" s="14">
        <v>180015</v>
      </c>
      <c r="C56" s="6" t="s">
        <v>36</v>
      </c>
      <c r="D56" s="5" t="s">
        <v>58</v>
      </c>
      <c r="E56" s="42">
        <v>50</v>
      </c>
      <c r="F56" s="42">
        <v>94</v>
      </c>
      <c r="G56" s="42">
        <f t="shared" si="3"/>
        <v>-47</v>
      </c>
      <c r="H56" s="42">
        <v>0</v>
      </c>
      <c r="I56" s="42">
        <v>191</v>
      </c>
      <c r="J56" s="117">
        <v>-285</v>
      </c>
      <c r="K56" s="43"/>
    </row>
    <row r="57" spans="1:12" ht="15" customHeight="1" x14ac:dyDescent="0.25">
      <c r="A57" s="17">
        <v>20</v>
      </c>
      <c r="B57" s="14">
        <v>180026</v>
      </c>
      <c r="C57" s="6" t="s">
        <v>37</v>
      </c>
      <c r="D57" s="5">
        <v>1</v>
      </c>
      <c r="E57" s="42">
        <v>6688</v>
      </c>
      <c r="F57" s="42">
        <v>7705</v>
      </c>
      <c r="G57" s="42">
        <f t="shared" si="3"/>
        <v>9102</v>
      </c>
      <c r="H57" s="42">
        <v>0</v>
      </c>
      <c r="I57" s="42">
        <v>5291</v>
      </c>
      <c r="J57" s="117">
        <v>12913</v>
      </c>
      <c r="K57" s="43"/>
    </row>
    <row r="58" spans="1:12" ht="15" customHeight="1" x14ac:dyDescent="0.25">
      <c r="A58" s="17">
        <v>21</v>
      </c>
      <c r="B58" s="70">
        <v>180053</v>
      </c>
      <c r="C58" s="71" t="s">
        <v>38</v>
      </c>
      <c r="D58" s="56">
        <v>100</v>
      </c>
      <c r="E58" s="42">
        <v>94</v>
      </c>
      <c r="F58" s="42">
        <v>0</v>
      </c>
      <c r="G58" s="42">
        <f t="shared" si="3"/>
        <v>73</v>
      </c>
      <c r="H58" s="42">
        <v>0</v>
      </c>
      <c r="I58" s="42">
        <v>21</v>
      </c>
      <c r="J58" s="117">
        <v>125</v>
      </c>
      <c r="K58" s="83"/>
    </row>
    <row r="59" spans="1:12" ht="15" customHeight="1" x14ac:dyDescent="0.25">
      <c r="A59" s="17">
        <v>22</v>
      </c>
      <c r="B59" s="14">
        <v>180007</v>
      </c>
      <c r="C59" s="13" t="s">
        <v>39</v>
      </c>
      <c r="D59" s="5">
        <v>1</v>
      </c>
      <c r="E59" s="42">
        <v>5989</v>
      </c>
      <c r="F59" s="42">
        <v>0</v>
      </c>
      <c r="G59" s="42">
        <f t="shared" si="3"/>
        <v>72</v>
      </c>
      <c r="H59" s="42">
        <v>0</v>
      </c>
      <c r="I59" s="42">
        <v>5917</v>
      </c>
      <c r="J59" s="117">
        <v>-5773</v>
      </c>
      <c r="K59" s="43"/>
    </row>
    <row r="60" spans="1:12" ht="15" customHeight="1" x14ac:dyDescent="0.25">
      <c r="A60" s="17">
        <v>23</v>
      </c>
      <c r="B60" s="14">
        <v>180052</v>
      </c>
      <c r="C60" s="13" t="s">
        <v>111</v>
      </c>
      <c r="D60" s="5" t="s">
        <v>112</v>
      </c>
      <c r="E60" s="42">
        <v>0</v>
      </c>
      <c r="F60" s="42">
        <v>0</v>
      </c>
      <c r="G60" s="42">
        <f t="shared" si="3"/>
        <v>-9</v>
      </c>
      <c r="H60" s="42">
        <v>0</v>
      </c>
      <c r="I60" s="42">
        <v>9</v>
      </c>
      <c r="J60" s="117">
        <v>-27</v>
      </c>
      <c r="K60" s="83"/>
    </row>
    <row r="61" spans="1:12" ht="15" customHeight="1" x14ac:dyDescent="0.25">
      <c r="A61" s="17">
        <v>24</v>
      </c>
      <c r="B61" s="53">
        <v>180091</v>
      </c>
      <c r="C61" s="54" t="s">
        <v>90</v>
      </c>
      <c r="D61" s="55">
        <v>1</v>
      </c>
      <c r="E61" s="42">
        <v>0</v>
      </c>
      <c r="F61" s="42">
        <v>0</v>
      </c>
      <c r="G61" s="42">
        <v>52</v>
      </c>
      <c r="H61" s="42">
        <v>52</v>
      </c>
      <c r="I61" s="42">
        <v>0</v>
      </c>
      <c r="J61" s="117">
        <v>104</v>
      </c>
      <c r="K61" s="83"/>
    </row>
    <row r="62" spans="1:12" ht="15" hidden="1" customHeight="1" x14ac:dyDescent="0.25">
      <c r="A62" s="17">
        <v>25</v>
      </c>
      <c r="B62" s="45">
        <v>180086</v>
      </c>
      <c r="C62" s="46" t="s">
        <v>97</v>
      </c>
      <c r="D62" s="47">
        <v>50</v>
      </c>
      <c r="E62" s="42"/>
      <c r="F62" s="42"/>
      <c r="G62" s="42">
        <f t="shared" si="3"/>
        <v>0</v>
      </c>
      <c r="H62" s="42"/>
      <c r="I62" s="42"/>
      <c r="J62" s="117">
        <v>1778</v>
      </c>
      <c r="K62" s="43"/>
    </row>
    <row r="63" spans="1:12" ht="15" hidden="1" customHeight="1" x14ac:dyDescent="0.25">
      <c r="A63" s="17">
        <v>26</v>
      </c>
      <c r="B63" s="45">
        <v>180087</v>
      </c>
      <c r="C63" s="46" t="s">
        <v>98</v>
      </c>
      <c r="D63" s="47">
        <v>50</v>
      </c>
      <c r="E63" s="42"/>
      <c r="F63" s="42"/>
      <c r="G63" s="42">
        <f t="shared" si="3"/>
        <v>0</v>
      </c>
      <c r="H63" s="42"/>
      <c r="I63" s="42"/>
      <c r="J63" s="117">
        <v>1778</v>
      </c>
      <c r="K63" s="43"/>
    </row>
    <row r="64" spans="1:12" ht="15" customHeight="1" x14ac:dyDescent="0.25">
      <c r="A64" s="17">
        <v>27</v>
      </c>
      <c r="B64" s="45">
        <v>180089</v>
      </c>
      <c r="C64" s="68" t="s">
        <v>129</v>
      </c>
      <c r="D64" s="47">
        <v>50</v>
      </c>
      <c r="E64" s="42">
        <v>0</v>
      </c>
      <c r="F64" s="42">
        <v>0</v>
      </c>
      <c r="G64" s="42">
        <f t="shared" si="3"/>
        <v>-5</v>
      </c>
      <c r="H64" s="42">
        <v>0</v>
      </c>
      <c r="I64" s="42">
        <v>5</v>
      </c>
      <c r="J64" s="117">
        <v>-15</v>
      </c>
      <c r="K64" s="84"/>
    </row>
    <row r="65" spans="1:11" ht="15" customHeight="1" x14ac:dyDescent="0.25">
      <c r="A65" s="17">
        <v>28</v>
      </c>
      <c r="B65" s="45">
        <v>180088</v>
      </c>
      <c r="C65" s="46" t="s">
        <v>99</v>
      </c>
      <c r="D65" s="47">
        <v>50</v>
      </c>
      <c r="E65" s="42">
        <v>480</v>
      </c>
      <c r="F65" s="42">
        <v>0</v>
      </c>
      <c r="G65" s="42">
        <f t="shared" si="3"/>
        <v>480</v>
      </c>
      <c r="H65" s="42">
        <v>0</v>
      </c>
      <c r="I65" s="42">
        <v>0</v>
      </c>
      <c r="J65" s="117">
        <v>960</v>
      </c>
      <c r="K65" s="84"/>
    </row>
    <row r="66" spans="1:11" ht="15" customHeight="1" x14ac:dyDescent="0.25">
      <c r="A66" s="17">
        <v>29</v>
      </c>
      <c r="B66" s="50">
        <v>180090</v>
      </c>
      <c r="C66" s="51" t="s">
        <v>89</v>
      </c>
      <c r="D66" s="52">
        <v>1</v>
      </c>
      <c r="E66" s="42">
        <v>54</v>
      </c>
      <c r="F66" s="42">
        <v>0</v>
      </c>
      <c r="G66" s="42">
        <v>54</v>
      </c>
      <c r="H66" s="42">
        <v>0</v>
      </c>
      <c r="I66" s="42">
        <v>0</v>
      </c>
      <c r="J66" s="117">
        <v>108</v>
      </c>
      <c r="K66" s="85"/>
    </row>
    <row r="67" spans="1:11" ht="17.100000000000001" customHeight="1" x14ac:dyDescent="0.25">
      <c r="A67" s="101"/>
      <c r="B67" s="106"/>
      <c r="C67" s="103" t="s">
        <v>40</v>
      </c>
      <c r="D67" s="104"/>
      <c r="E67" s="62"/>
      <c r="F67" s="62"/>
      <c r="G67" s="62"/>
      <c r="H67" s="62"/>
      <c r="I67" s="62"/>
      <c r="J67" s="62"/>
      <c r="K67" s="82"/>
    </row>
    <row r="68" spans="1:11" ht="15" customHeight="1" x14ac:dyDescent="0.25">
      <c r="A68" s="17">
        <v>1</v>
      </c>
      <c r="B68" s="14">
        <v>180065</v>
      </c>
      <c r="C68" s="6" t="s">
        <v>41</v>
      </c>
      <c r="D68" s="25" t="s">
        <v>105</v>
      </c>
      <c r="E68" s="42">
        <v>227</v>
      </c>
      <c r="F68" s="42">
        <v>0</v>
      </c>
      <c r="G68" s="42">
        <v>0</v>
      </c>
      <c r="H68" s="42">
        <v>108</v>
      </c>
      <c r="I68" s="42">
        <v>335</v>
      </c>
      <c r="J68" s="96">
        <f>(2*G68)-I68</f>
        <v>-335</v>
      </c>
      <c r="K68" s="43"/>
    </row>
    <row r="69" spans="1:11" ht="15" customHeight="1" x14ac:dyDescent="0.25">
      <c r="A69" s="17">
        <v>2</v>
      </c>
      <c r="B69" s="14">
        <v>180004</v>
      </c>
      <c r="C69" s="6" t="s">
        <v>42</v>
      </c>
      <c r="D69" s="25" t="s">
        <v>105</v>
      </c>
      <c r="E69" s="42">
        <v>27</v>
      </c>
      <c r="F69" s="42">
        <v>0</v>
      </c>
      <c r="G69" s="42">
        <f t="shared" ref="G69:G89" si="4">(E69+F69)-I69</f>
        <v>2</v>
      </c>
      <c r="H69" s="42">
        <v>0</v>
      </c>
      <c r="I69" s="42">
        <v>25</v>
      </c>
      <c r="J69" s="96">
        <f>(2*G69)-I69</f>
        <v>-21</v>
      </c>
      <c r="K69" s="43"/>
    </row>
    <row r="70" spans="1:11" ht="15" customHeight="1" x14ac:dyDescent="0.25">
      <c r="A70" s="17">
        <v>3</v>
      </c>
      <c r="B70" s="14">
        <v>180066</v>
      </c>
      <c r="C70" s="6" t="s">
        <v>80</v>
      </c>
      <c r="D70" s="25" t="s">
        <v>94</v>
      </c>
      <c r="E70" s="42">
        <v>35</v>
      </c>
      <c r="F70" s="42">
        <v>0</v>
      </c>
      <c r="G70" s="42">
        <f t="shared" si="4"/>
        <v>0</v>
      </c>
      <c r="H70" s="42">
        <v>0</v>
      </c>
      <c r="I70" s="42">
        <v>35</v>
      </c>
      <c r="J70" s="96">
        <v>-35</v>
      </c>
      <c r="K70" s="43"/>
    </row>
    <row r="71" spans="1:11" ht="15" customHeight="1" x14ac:dyDescent="0.25">
      <c r="A71" s="17">
        <v>4</v>
      </c>
      <c r="B71" s="14">
        <v>180013</v>
      </c>
      <c r="C71" s="13" t="s">
        <v>114</v>
      </c>
      <c r="D71" s="25">
        <v>1</v>
      </c>
      <c r="E71" s="42">
        <v>218</v>
      </c>
      <c r="F71" s="42">
        <v>0</v>
      </c>
      <c r="G71" s="42">
        <f t="shared" si="4"/>
        <v>194</v>
      </c>
      <c r="H71" s="42">
        <v>0</v>
      </c>
      <c r="I71" s="42">
        <v>24</v>
      </c>
      <c r="J71" s="96">
        <f>(2*G71)-I71</f>
        <v>364</v>
      </c>
      <c r="K71" s="43"/>
    </row>
    <row r="72" spans="1:11" ht="15" customHeight="1" x14ac:dyDescent="0.25">
      <c r="A72" s="17">
        <v>5</v>
      </c>
      <c r="B72" s="14">
        <v>180067</v>
      </c>
      <c r="C72" s="6" t="s">
        <v>43</v>
      </c>
      <c r="D72" s="25">
        <v>1</v>
      </c>
      <c r="E72" s="42">
        <v>0</v>
      </c>
      <c r="F72" s="42">
        <v>0</v>
      </c>
      <c r="G72" s="42">
        <v>7</v>
      </c>
      <c r="H72" s="42">
        <v>7</v>
      </c>
      <c r="I72" s="42">
        <v>0</v>
      </c>
      <c r="J72" s="96">
        <v>14</v>
      </c>
      <c r="K72" s="43"/>
    </row>
    <row r="73" spans="1:11" ht="15" customHeight="1" x14ac:dyDescent="0.25">
      <c r="A73" s="17">
        <v>6</v>
      </c>
      <c r="B73" s="14">
        <v>180062</v>
      </c>
      <c r="C73" s="6" t="s">
        <v>44</v>
      </c>
      <c r="D73" s="25">
        <v>1</v>
      </c>
      <c r="E73" s="42">
        <v>0</v>
      </c>
      <c r="F73" s="42">
        <v>0</v>
      </c>
      <c r="G73" s="42">
        <v>0</v>
      </c>
      <c r="H73" s="42">
        <v>1</v>
      </c>
      <c r="I73" s="42">
        <v>1</v>
      </c>
      <c r="J73" s="96">
        <v>-1</v>
      </c>
      <c r="K73" s="43"/>
    </row>
    <row r="74" spans="1:11" ht="15" customHeight="1" x14ac:dyDescent="0.25">
      <c r="A74" s="17">
        <v>7</v>
      </c>
      <c r="B74" s="14">
        <v>180068</v>
      </c>
      <c r="C74" s="6" t="s">
        <v>45</v>
      </c>
      <c r="D74" s="25">
        <v>1</v>
      </c>
      <c r="E74" s="42">
        <v>0</v>
      </c>
      <c r="F74" s="42">
        <v>0</v>
      </c>
      <c r="G74" s="42">
        <f t="shared" si="4"/>
        <v>0</v>
      </c>
      <c r="H74" s="42">
        <v>0</v>
      </c>
      <c r="I74" s="42">
        <v>0</v>
      </c>
      <c r="J74" s="96">
        <v>0</v>
      </c>
      <c r="K74" s="43"/>
    </row>
    <row r="75" spans="1:11" ht="15" customHeight="1" x14ac:dyDescent="0.25">
      <c r="A75" s="17">
        <v>8</v>
      </c>
      <c r="B75" s="14">
        <v>180069</v>
      </c>
      <c r="C75" s="6" t="s">
        <v>46</v>
      </c>
      <c r="D75" s="25">
        <v>1</v>
      </c>
      <c r="E75" s="42">
        <v>0</v>
      </c>
      <c r="F75" s="42">
        <v>0</v>
      </c>
      <c r="G75" s="42">
        <f t="shared" si="4"/>
        <v>0</v>
      </c>
      <c r="H75" s="42">
        <v>0</v>
      </c>
      <c r="I75" s="42">
        <v>0</v>
      </c>
      <c r="J75" s="96">
        <v>0</v>
      </c>
      <c r="K75" s="43"/>
    </row>
    <row r="76" spans="1:11" ht="15" customHeight="1" x14ac:dyDescent="0.25">
      <c r="A76" s="17">
        <v>9</v>
      </c>
      <c r="B76" s="14">
        <v>180019</v>
      </c>
      <c r="C76" s="6" t="s">
        <v>49</v>
      </c>
      <c r="D76" s="25">
        <v>1</v>
      </c>
      <c r="E76" s="42">
        <v>0</v>
      </c>
      <c r="F76" s="42">
        <v>20</v>
      </c>
      <c r="G76" s="42">
        <f t="shared" si="4"/>
        <v>20</v>
      </c>
      <c r="H76" s="42">
        <v>0</v>
      </c>
      <c r="I76" s="42">
        <v>0</v>
      </c>
      <c r="J76" s="96">
        <f>(2*G76)-I76</f>
        <v>40</v>
      </c>
      <c r="K76" s="43"/>
    </row>
    <row r="77" spans="1:11" ht="15" customHeight="1" x14ac:dyDescent="0.25">
      <c r="A77" s="17">
        <v>10</v>
      </c>
      <c r="B77" s="14">
        <v>180017</v>
      </c>
      <c r="C77" s="6" t="s">
        <v>50</v>
      </c>
      <c r="D77" s="25">
        <v>1</v>
      </c>
      <c r="E77" s="42">
        <v>85</v>
      </c>
      <c r="F77" s="42">
        <v>0</v>
      </c>
      <c r="G77" s="42">
        <v>0</v>
      </c>
      <c r="H77" s="42">
        <v>565</v>
      </c>
      <c r="I77" s="42">
        <v>650</v>
      </c>
      <c r="J77" s="96">
        <v>-650</v>
      </c>
      <c r="K77" s="43"/>
    </row>
    <row r="78" spans="1:11" ht="15" customHeight="1" x14ac:dyDescent="0.25">
      <c r="A78" s="17">
        <v>11</v>
      </c>
      <c r="B78" s="14">
        <v>180018</v>
      </c>
      <c r="C78" s="6" t="s">
        <v>51</v>
      </c>
      <c r="D78" s="25">
        <v>1</v>
      </c>
      <c r="E78" s="42">
        <v>0</v>
      </c>
      <c r="F78" s="42">
        <v>0</v>
      </c>
      <c r="G78" s="42">
        <f t="shared" si="4"/>
        <v>0</v>
      </c>
      <c r="H78" s="42">
        <v>0</v>
      </c>
      <c r="I78" s="42">
        <v>0</v>
      </c>
      <c r="J78" s="96">
        <v>0</v>
      </c>
      <c r="K78" s="43"/>
    </row>
    <row r="79" spans="1:11" ht="15" customHeight="1" x14ac:dyDescent="0.25">
      <c r="A79" s="17">
        <v>12</v>
      </c>
      <c r="B79" s="14">
        <v>180016</v>
      </c>
      <c r="C79" s="6" t="s">
        <v>52</v>
      </c>
      <c r="D79" s="25">
        <v>1</v>
      </c>
      <c r="E79" s="42">
        <v>0</v>
      </c>
      <c r="F79" s="42">
        <v>0</v>
      </c>
      <c r="G79" s="42">
        <f t="shared" si="4"/>
        <v>0</v>
      </c>
      <c r="H79" s="42">
        <v>0</v>
      </c>
      <c r="I79" s="42">
        <v>0</v>
      </c>
      <c r="J79" s="96">
        <v>0</v>
      </c>
      <c r="K79" s="43"/>
    </row>
    <row r="80" spans="1:11" ht="15" customHeight="1" x14ac:dyDescent="0.25">
      <c r="A80" s="17">
        <v>13</v>
      </c>
      <c r="B80" s="14">
        <v>180072</v>
      </c>
      <c r="C80" s="6" t="s">
        <v>55</v>
      </c>
      <c r="D80" s="25">
        <v>1</v>
      </c>
      <c r="E80" s="42">
        <v>0</v>
      </c>
      <c r="F80" s="42">
        <v>0</v>
      </c>
      <c r="G80" s="42">
        <f t="shared" si="4"/>
        <v>0</v>
      </c>
      <c r="H80" s="42">
        <v>0</v>
      </c>
      <c r="I80" s="42">
        <v>0</v>
      </c>
      <c r="J80" s="96">
        <v>0</v>
      </c>
      <c r="K80" s="43"/>
    </row>
    <row r="81" spans="1:11" ht="15" customHeight="1" x14ac:dyDescent="0.25">
      <c r="A81" s="17">
        <v>14</v>
      </c>
      <c r="B81" s="14">
        <v>180073</v>
      </c>
      <c r="C81" s="6" t="s">
        <v>56</v>
      </c>
      <c r="D81" s="25">
        <v>1</v>
      </c>
      <c r="E81" s="42">
        <v>0</v>
      </c>
      <c r="F81" s="42">
        <v>0</v>
      </c>
      <c r="G81" s="42">
        <f t="shared" si="4"/>
        <v>0</v>
      </c>
      <c r="H81" s="42">
        <v>0</v>
      </c>
      <c r="I81" s="42">
        <v>0</v>
      </c>
      <c r="J81" s="96">
        <v>0</v>
      </c>
      <c r="K81" s="43"/>
    </row>
    <row r="82" spans="1:11" ht="15" customHeight="1" x14ac:dyDescent="0.25">
      <c r="A82" s="17">
        <v>15</v>
      </c>
      <c r="B82" s="14">
        <v>180074</v>
      </c>
      <c r="C82" s="6" t="s">
        <v>57</v>
      </c>
      <c r="D82" s="25">
        <v>1</v>
      </c>
      <c r="E82" s="42">
        <v>0</v>
      </c>
      <c r="F82" s="42">
        <v>0</v>
      </c>
      <c r="G82" s="42">
        <f t="shared" si="4"/>
        <v>0</v>
      </c>
      <c r="H82" s="42">
        <v>0</v>
      </c>
      <c r="I82" s="42">
        <v>0</v>
      </c>
      <c r="J82" s="96">
        <v>0</v>
      </c>
      <c r="K82" s="43"/>
    </row>
    <row r="83" spans="1:11" ht="15" customHeight="1" x14ac:dyDescent="0.25">
      <c r="A83" s="17">
        <v>16</v>
      </c>
      <c r="B83" s="14">
        <v>180055</v>
      </c>
      <c r="C83" s="6" t="s">
        <v>60</v>
      </c>
      <c r="D83" s="25">
        <v>5</v>
      </c>
      <c r="E83" s="42">
        <v>0</v>
      </c>
      <c r="F83" s="42">
        <v>0</v>
      </c>
      <c r="G83" s="42">
        <v>0</v>
      </c>
      <c r="H83" s="42">
        <v>102</v>
      </c>
      <c r="I83" s="42">
        <v>102</v>
      </c>
      <c r="J83" s="96">
        <v>-102</v>
      </c>
      <c r="K83" s="43"/>
    </row>
    <row r="84" spans="1:11" ht="15" customHeight="1" x14ac:dyDescent="0.25">
      <c r="A84" s="17">
        <v>17</v>
      </c>
      <c r="B84" s="14">
        <v>180054</v>
      </c>
      <c r="C84" s="6" t="s">
        <v>61</v>
      </c>
      <c r="D84" s="25">
        <v>5</v>
      </c>
      <c r="E84" s="42">
        <v>39</v>
      </c>
      <c r="F84" s="42">
        <v>100</v>
      </c>
      <c r="G84" s="42">
        <v>0</v>
      </c>
      <c r="H84" s="42">
        <v>321</v>
      </c>
      <c r="I84" s="42">
        <v>460</v>
      </c>
      <c r="J84" s="96">
        <v>-460</v>
      </c>
      <c r="K84" s="43"/>
    </row>
    <row r="85" spans="1:11" ht="15" customHeight="1" x14ac:dyDescent="0.25">
      <c r="A85" s="17">
        <v>18</v>
      </c>
      <c r="B85" s="14">
        <v>180038</v>
      </c>
      <c r="C85" s="6" t="s">
        <v>62</v>
      </c>
      <c r="D85" s="25">
        <v>5</v>
      </c>
      <c r="E85" s="42">
        <v>8</v>
      </c>
      <c r="F85" s="42">
        <v>6</v>
      </c>
      <c r="G85" s="42">
        <v>0</v>
      </c>
      <c r="H85" s="42">
        <v>429</v>
      </c>
      <c r="I85" s="42">
        <v>443</v>
      </c>
      <c r="J85" s="96">
        <v>-443</v>
      </c>
      <c r="K85" s="43"/>
    </row>
    <row r="86" spans="1:11" ht="15" customHeight="1" x14ac:dyDescent="0.25">
      <c r="A86" s="17">
        <v>19</v>
      </c>
      <c r="B86" s="14">
        <v>180037</v>
      </c>
      <c r="C86" s="6" t="s">
        <v>63</v>
      </c>
      <c r="D86" s="25">
        <v>5</v>
      </c>
      <c r="E86" s="42">
        <v>10</v>
      </c>
      <c r="F86" s="42">
        <v>0</v>
      </c>
      <c r="G86" s="42">
        <v>0</v>
      </c>
      <c r="H86" s="42">
        <v>10</v>
      </c>
      <c r="I86" s="42">
        <v>20</v>
      </c>
      <c r="J86" s="96">
        <v>-20</v>
      </c>
      <c r="K86" s="43"/>
    </row>
    <row r="87" spans="1:11" ht="15" customHeight="1" x14ac:dyDescent="0.25">
      <c r="A87" s="17">
        <v>20</v>
      </c>
      <c r="B87" s="14">
        <v>180077</v>
      </c>
      <c r="C87" s="6" t="s">
        <v>104</v>
      </c>
      <c r="D87" s="25">
        <v>100</v>
      </c>
      <c r="E87" s="42">
        <v>23</v>
      </c>
      <c r="F87" s="42">
        <v>121</v>
      </c>
      <c r="G87" s="42">
        <f t="shared" si="4"/>
        <v>71</v>
      </c>
      <c r="H87" s="42">
        <v>0</v>
      </c>
      <c r="I87" s="42">
        <v>73</v>
      </c>
      <c r="J87" s="96">
        <f>(2*G87)-I87</f>
        <v>69</v>
      </c>
      <c r="K87" s="43"/>
    </row>
    <row r="88" spans="1:11" ht="15" customHeight="1" x14ac:dyDescent="0.25">
      <c r="A88" s="17">
        <v>21</v>
      </c>
      <c r="B88" s="14">
        <v>180011</v>
      </c>
      <c r="C88" s="6" t="s">
        <v>59</v>
      </c>
      <c r="D88" s="25">
        <v>5</v>
      </c>
      <c r="E88" s="42">
        <v>2</v>
      </c>
      <c r="F88" s="42">
        <v>0</v>
      </c>
      <c r="G88" s="42">
        <v>0</v>
      </c>
      <c r="H88" s="42">
        <v>6</v>
      </c>
      <c r="I88" s="42">
        <v>8</v>
      </c>
      <c r="J88" s="96">
        <v>-8</v>
      </c>
      <c r="K88" s="43"/>
    </row>
    <row r="89" spans="1:11" ht="15" customHeight="1" x14ac:dyDescent="0.25">
      <c r="A89" s="17">
        <v>22</v>
      </c>
      <c r="B89" s="14">
        <v>180071</v>
      </c>
      <c r="C89" s="13" t="s">
        <v>53</v>
      </c>
      <c r="D89" s="5">
        <v>1</v>
      </c>
      <c r="E89" s="42">
        <v>559</v>
      </c>
      <c r="F89" s="42">
        <v>0</v>
      </c>
      <c r="G89" s="42">
        <f t="shared" si="4"/>
        <v>170</v>
      </c>
      <c r="H89" s="42">
        <v>0</v>
      </c>
      <c r="I89" s="42">
        <v>389</v>
      </c>
      <c r="J89" s="96">
        <f>(2*G89)-I89</f>
        <v>-49</v>
      </c>
      <c r="K89" s="43"/>
    </row>
    <row r="90" spans="1:11" ht="15" customHeight="1" x14ac:dyDescent="0.25">
      <c r="A90" s="107"/>
      <c r="B90" s="108"/>
      <c r="C90" s="103" t="s">
        <v>79</v>
      </c>
      <c r="D90" s="104"/>
      <c r="E90" s="62"/>
      <c r="F90" s="62"/>
      <c r="G90" s="62"/>
      <c r="H90" s="62"/>
      <c r="I90" s="62"/>
      <c r="J90" s="62"/>
      <c r="K90" s="82"/>
    </row>
    <row r="91" spans="1:11" ht="15" hidden="1" customHeight="1" x14ac:dyDescent="0.25">
      <c r="A91" s="73">
        <v>1</v>
      </c>
      <c r="B91" s="74">
        <v>180012</v>
      </c>
      <c r="C91" s="75" t="s">
        <v>130</v>
      </c>
      <c r="D91" s="5">
        <v>1</v>
      </c>
      <c r="E91" s="42"/>
      <c r="F91" s="42"/>
      <c r="G91" s="42"/>
      <c r="H91" s="42"/>
      <c r="I91" s="42"/>
      <c r="J91" s="96"/>
      <c r="K91" s="43"/>
    </row>
    <row r="92" spans="1:11" ht="15" hidden="1" customHeight="1" x14ac:dyDescent="0.25">
      <c r="A92" s="73">
        <v>2</v>
      </c>
      <c r="B92" s="74">
        <v>180014</v>
      </c>
      <c r="C92" s="75" t="s">
        <v>131</v>
      </c>
      <c r="D92" s="5">
        <v>1</v>
      </c>
      <c r="E92" s="42"/>
      <c r="F92" s="42"/>
      <c r="G92" s="42"/>
      <c r="H92" s="42"/>
      <c r="I92" s="42"/>
      <c r="J92" s="96"/>
      <c r="K92" s="43"/>
    </row>
    <row r="93" spans="1:11" ht="15" hidden="1" customHeight="1" x14ac:dyDescent="0.25">
      <c r="A93" s="17">
        <v>3</v>
      </c>
      <c r="B93" s="14">
        <v>180020</v>
      </c>
      <c r="C93" s="6" t="s">
        <v>48</v>
      </c>
      <c r="D93" s="5">
        <v>1</v>
      </c>
      <c r="E93" s="42"/>
      <c r="F93" s="42"/>
      <c r="G93" s="42"/>
      <c r="H93" s="42"/>
      <c r="I93" s="42"/>
      <c r="J93" s="96"/>
      <c r="K93" s="43"/>
    </row>
    <row r="94" spans="1:11" ht="15" hidden="1" customHeight="1" x14ac:dyDescent="0.25">
      <c r="A94" s="73">
        <v>4</v>
      </c>
      <c r="B94" s="74">
        <v>180042</v>
      </c>
      <c r="C94" s="75" t="s">
        <v>132</v>
      </c>
      <c r="D94" s="5">
        <v>1</v>
      </c>
      <c r="E94" s="42"/>
      <c r="F94" s="42"/>
      <c r="G94" s="42"/>
      <c r="H94" s="42"/>
      <c r="I94" s="42"/>
      <c r="J94" s="96"/>
      <c r="K94" s="43"/>
    </row>
    <row r="95" spans="1:11" ht="15" hidden="1" customHeight="1" x14ac:dyDescent="0.25">
      <c r="A95" s="73">
        <v>5</v>
      </c>
      <c r="B95" s="74">
        <v>180043</v>
      </c>
      <c r="C95" s="75" t="s">
        <v>133</v>
      </c>
      <c r="D95" s="5">
        <v>1</v>
      </c>
      <c r="E95" s="42"/>
      <c r="F95" s="42"/>
      <c r="G95" s="42"/>
      <c r="H95" s="42"/>
      <c r="I95" s="42"/>
      <c r="J95" s="96"/>
      <c r="K95" s="43"/>
    </row>
    <row r="96" spans="1:11" ht="15" customHeight="1" x14ac:dyDescent="0.25">
      <c r="A96" s="17">
        <v>6</v>
      </c>
      <c r="B96" s="14">
        <v>180044</v>
      </c>
      <c r="C96" s="6" t="s">
        <v>54</v>
      </c>
      <c r="D96" s="5">
        <v>1</v>
      </c>
      <c r="E96" s="42">
        <v>0</v>
      </c>
      <c r="F96" s="42">
        <v>0</v>
      </c>
      <c r="G96" s="42">
        <f>(E96+F96)-I96</f>
        <v>0</v>
      </c>
      <c r="H96" s="42">
        <v>0</v>
      </c>
      <c r="I96" s="42">
        <v>0</v>
      </c>
      <c r="J96" s="96">
        <v>0</v>
      </c>
      <c r="K96" s="43"/>
    </row>
    <row r="97" spans="1:12" ht="15" hidden="1" customHeight="1" x14ac:dyDescent="0.25">
      <c r="A97" s="73">
        <v>7</v>
      </c>
      <c r="B97" s="74">
        <v>180047</v>
      </c>
      <c r="C97" s="75" t="s">
        <v>134</v>
      </c>
      <c r="D97" s="5">
        <v>1</v>
      </c>
      <c r="E97" s="42"/>
      <c r="F97" s="42"/>
      <c r="G97" s="42">
        <f t="shared" ref="G97" si="5">(E97+F97)-I97</f>
        <v>0</v>
      </c>
      <c r="H97" s="42"/>
      <c r="I97" s="42"/>
      <c r="J97" s="96"/>
      <c r="K97" s="43"/>
    </row>
    <row r="98" spans="1:12" ht="15" customHeight="1" thickBot="1" x14ac:dyDescent="0.3">
      <c r="A98" s="17">
        <v>8</v>
      </c>
      <c r="B98" s="19">
        <v>180070</v>
      </c>
      <c r="C98" s="24" t="s">
        <v>47</v>
      </c>
      <c r="D98" s="20">
        <v>1</v>
      </c>
      <c r="E98" s="42">
        <v>0</v>
      </c>
      <c r="F98" s="42">
        <v>0</v>
      </c>
      <c r="G98" s="42">
        <v>0</v>
      </c>
      <c r="H98" s="42">
        <v>1</v>
      </c>
      <c r="I98" s="42">
        <v>1</v>
      </c>
      <c r="J98" s="96">
        <v>-1</v>
      </c>
      <c r="K98" s="86"/>
    </row>
    <row r="99" spans="1:12" customFormat="1" ht="8.4499999999999993" customHeight="1" x14ac:dyDescent="0.2">
      <c r="A99" s="7"/>
      <c r="B99" s="15"/>
      <c r="C99" s="7"/>
      <c r="D99" s="7"/>
      <c r="E99" s="7"/>
      <c r="F99" s="7"/>
      <c r="G99" s="7"/>
      <c r="H99" s="7"/>
      <c r="I99" s="7"/>
      <c r="J99" s="7"/>
      <c r="K99" s="87"/>
      <c r="L99" s="116"/>
    </row>
    <row r="100" spans="1:12" customFormat="1" ht="8.4499999999999993" customHeight="1" thickBot="1" x14ac:dyDescent="0.25">
      <c r="A100" s="7"/>
      <c r="B100" s="15"/>
      <c r="C100" s="7"/>
      <c r="D100" s="7"/>
      <c r="E100" s="7"/>
      <c r="F100" s="7"/>
      <c r="G100" s="7"/>
      <c r="H100" s="7"/>
      <c r="I100" s="7"/>
      <c r="J100" s="7"/>
      <c r="K100" s="87"/>
      <c r="L100" s="116"/>
    </row>
    <row r="101" spans="1:12" ht="15" customHeight="1" x14ac:dyDescent="0.25">
      <c r="A101" s="8"/>
      <c r="B101" s="21"/>
      <c r="C101" s="34" t="s">
        <v>64</v>
      </c>
      <c r="D101" s="36"/>
      <c r="E101" s="10"/>
      <c r="F101" s="10"/>
      <c r="G101" s="10"/>
      <c r="H101" s="9"/>
    </row>
    <row r="102" spans="1:12" ht="15" customHeight="1" x14ac:dyDescent="0.25">
      <c r="A102" s="8"/>
      <c r="B102" s="27" t="s">
        <v>95</v>
      </c>
      <c r="C102" s="28"/>
      <c r="D102" s="63">
        <v>2172</v>
      </c>
      <c r="E102" s="10"/>
      <c r="F102" s="10"/>
      <c r="G102" s="10"/>
      <c r="H102" s="9"/>
    </row>
    <row r="103" spans="1:12" ht="15" customHeight="1" thickBot="1" x14ac:dyDescent="0.3">
      <c r="A103" s="2"/>
      <c r="B103" s="23" t="s">
        <v>96</v>
      </c>
      <c r="C103" s="35"/>
      <c r="D103" s="64">
        <v>8502</v>
      </c>
      <c r="E103" s="10"/>
      <c r="F103" s="10"/>
      <c r="G103" s="10"/>
      <c r="H103" s="10"/>
      <c r="I103" s="10"/>
      <c r="J103" s="10"/>
      <c r="K103" s="89"/>
    </row>
    <row r="104" spans="1:12" ht="9" customHeight="1" thickBot="1" x14ac:dyDescent="0.3">
      <c r="A104" s="2"/>
      <c r="B104" s="2"/>
      <c r="C104" s="2"/>
      <c r="D104" s="2"/>
      <c r="E104" s="2"/>
      <c r="F104" s="2"/>
      <c r="G104" s="2"/>
      <c r="H104" s="2"/>
      <c r="I104" s="10"/>
      <c r="J104" s="10"/>
      <c r="K104" s="89"/>
    </row>
    <row r="105" spans="1:12" ht="15" customHeight="1" x14ac:dyDescent="0.25">
      <c r="A105" s="2"/>
      <c r="B105" s="37"/>
      <c r="C105" s="38" t="s">
        <v>65</v>
      </c>
      <c r="D105" s="38"/>
      <c r="E105" s="38"/>
      <c r="F105" s="65"/>
      <c r="G105" s="124"/>
      <c r="H105" s="125"/>
      <c r="I105" s="10"/>
      <c r="J105" s="10"/>
      <c r="K105" s="89"/>
    </row>
    <row r="106" spans="1:12" ht="15" customHeight="1" x14ac:dyDescent="0.25">
      <c r="A106" s="2"/>
      <c r="B106" s="22" t="s">
        <v>66</v>
      </c>
      <c r="C106" s="109"/>
      <c r="D106" s="110"/>
      <c r="E106" s="109" t="s">
        <v>67</v>
      </c>
      <c r="F106" s="111"/>
      <c r="G106" s="126"/>
      <c r="H106" s="127"/>
      <c r="I106" s="10"/>
      <c r="J106" s="10"/>
      <c r="K106" s="89"/>
    </row>
    <row r="107" spans="1:12" ht="15" customHeight="1" x14ac:dyDescent="0.25">
      <c r="B107" s="27" t="s">
        <v>68</v>
      </c>
      <c r="C107" s="119" t="s">
        <v>925</v>
      </c>
      <c r="D107" s="39"/>
      <c r="E107" s="6" t="s">
        <v>68</v>
      </c>
      <c r="F107" s="128" t="s">
        <v>928</v>
      </c>
      <c r="G107" s="129"/>
      <c r="H107" s="130"/>
    </row>
    <row r="108" spans="1:12" s="12" customFormat="1" ht="15" customHeight="1" x14ac:dyDescent="0.25">
      <c r="B108" s="27" t="s">
        <v>69</v>
      </c>
      <c r="C108" s="120"/>
      <c r="D108" s="40"/>
      <c r="E108" s="6" t="s">
        <v>69</v>
      </c>
      <c r="F108" s="131"/>
      <c r="G108" s="132"/>
      <c r="H108" s="133"/>
      <c r="K108" s="90"/>
    </row>
    <row r="109" spans="1:12" ht="15" customHeight="1" x14ac:dyDescent="0.25">
      <c r="B109" s="27" t="s">
        <v>70</v>
      </c>
      <c r="C109" s="120" t="s">
        <v>926</v>
      </c>
      <c r="D109" s="40"/>
      <c r="E109" s="6" t="s">
        <v>70</v>
      </c>
      <c r="F109" s="131" t="s">
        <v>929</v>
      </c>
      <c r="G109" s="132"/>
      <c r="H109" s="133"/>
    </row>
    <row r="110" spans="1:12" ht="15" customHeight="1" thickBot="1" x14ac:dyDescent="0.3">
      <c r="B110" s="23" t="s">
        <v>71</v>
      </c>
      <c r="C110" s="118" t="s">
        <v>927</v>
      </c>
      <c r="D110" s="41"/>
      <c r="E110" s="24" t="s">
        <v>71</v>
      </c>
      <c r="F110" s="121">
        <v>772480906</v>
      </c>
      <c r="G110" s="122"/>
      <c r="H110" s="123"/>
    </row>
    <row r="111" spans="1:12" ht="22.15" customHeight="1" x14ac:dyDescent="0.25">
      <c r="G111" s="66"/>
      <c r="H111" s="66"/>
    </row>
    <row r="112" spans="1:12" ht="22.15" customHeight="1" x14ac:dyDescent="0.25">
      <c r="C112" s="12"/>
      <c r="D112" s="12"/>
    </row>
  </sheetData>
  <sheetProtection algorithmName="SHA-512" hashValue="9RHyWlagO4aFjpMGT7FoiDTJZb6rP6B59/EF2uECHgmlncgGHEuh7n2kvcrUxqb/0S8sTZi4YmpkPP/ME2BTPg==" saltValue="5z5n1R+C9rMwWUXB9tokbw==" spinCount="100000" sheet="1" objects="1" scenarios="1"/>
  <customSheetViews>
    <customSheetView guid="{6D78005F-E03F-490D-AADB-5D0AA1EAD984}" scale="80" showPageBreaks="1" showGridLines="0" fitToPage="1" hiddenRows="1" topLeftCell="A8">
      <selection activeCell="C26" sqref="C26"/>
      <pageMargins left="0.70866141732283472" right="0.70866141732283472" top="0.74803149606299213" bottom="0.74803149606299213" header="0.31496062992125984" footer="0.31496062992125984"/>
      <pageSetup paperSize="9" scale="59" fitToHeight="0" orientation="landscape" r:id="rId1"/>
      <headerFooter alignWithMargins="0"/>
    </customSheetView>
    <customSheetView guid="{ED3C4C1F-71A2-48D3-B2FD-7541740A8761}" scale="80" showPageBreaks="1" showGridLines="0" fitToPage="1" hiddenRows="1">
      <selection activeCell="J13" sqref="J13"/>
      <pageMargins left="0.70866141732283472" right="0.70866141732283472" top="0.74803149606299213" bottom="0.74803149606299213" header="0.31496062992125984" footer="0.31496062992125984"/>
      <pageSetup paperSize="9" scale="61" fitToHeight="0" orientation="landscape" r:id="rId2"/>
      <headerFooter alignWithMargins="0"/>
    </customSheetView>
  </customSheetViews>
  <mergeCells count="6">
    <mergeCell ref="F110:H110"/>
    <mergeCell ref="G105:H105"/>
    <mergeCell ref="G106:H106"/>
    <mergeCell ref="F107:H107"/>
    <mergeCell ref="F108:H108"/>
    <mergeCell ref="F109:H109"/>
  </mergeCells>
  <dataValidations xWindow="746" yWindow="325" count="19">
    <dataValidation allowBlank="1" showInputMessage="1" showErrorMessage="1" promptTitle="FACILITY/IP NAME" prompt="Write the name of the Health Facility or Implementing Partner" sqref="C2" xr:uid="{868C8110-8A1F-43DF-B138-348DE6F7D90E}"/>
    <dataValidation allowBlank="1" showInputMessage="1" showErrorMessage="1" promptTitle="DISTRICT" prompt="Write the name of the District where the Health Facility or IP is located" sqref="C4" xr:uid="{2E5961C2-48C8-4406-93D1-6720956D524F}"/>
    <dataValidation allowBlank="1" showInputMessage="1" showErrorMessage="1" promptTitle="START DATE" prompt="Write the date  at the start of the reporting period" sqref="J2" xr:uid="{03C3D892-B232-4A8F-8341-6B5D4C5E4D6C}"/>
    <dataValidation allowBlank="1" showInputMessage="1" showErrorMessage="1" promptTitle="END DATE" prompt="Write the date at the end of the reporting period" sqref="J3" xr:uid="{B2DB7F6D-AF26-4D9D-A3EA-0C4EF4CBE5A8}"/>
    <dataValidation allowBlank="1" showInputMessage="1" showErrorMessage="1" promptTitle="DATE PREPARED" prompt="Write the date the report was prepared" sqref="J4" xr:uid="{3616C3B6-4877-4A67-B675-40F767800368}"/>
    <dataValidation allowBlank="1" showInputMessage="1" showErrorMessage="1" promptTitle="OPENING BALANCE" prompt="Write the stock on hand on the first day of the reporting period. It should be equal to the stock on hand on the closing day of the previous period" sqref="E6" xr:uid="{00000000-0002-0000-0000-000005000000}"/>
    <dataValidation allowBlank="1" showInputMessage="1" showErrorMessage="1" promptTitle="QTY RECEIVED" prompt="Write the quantity of products received from MAUL during the reporting period" sqref="F6" xr:uid="{00000000-0002-0000-0000-000006000000}"/>
    <dataValidation allowBlank="1" showInputMessage="1" showErrorMessage="1" promptTitle="CONSUMPTION" prompt="Write the quantity of products used during the reporting period" sqref="G6" xr:uid="{00000000-0002-0000-0000-000007000000}"/>
    <dataValidation allowBlank="1" showInputMessage="1" showErrorMessage="1" promptTitle="LOSSES/ADJUSTMENTS" prompt="Always indicate if the number is positive(+) or negative(-)._x000a__x000a_Positive adjustments e.g. stock received from sources other than MAUL_x000a_Negative adjustments e.g. expired, damaged or obsolete stock, stock donated to another facility" sqref="H6" xr:uid="{00000000-0002-0000-0000-000008000000}"/>
    <dataValidation allowBlank="1" showInputMessage="1" showErrorMessage="1" promptTitle="TOTAL CLOSING BALANCE" prompt="Stock on hand in the bulk store and all service delivery points on the last day of the reporting period._x000a__x000a_Data source: Physical count" sqref="I6" xr:uid="{00000000-0002-0000-0000-000009000000}"/>
    <dataValidation allowBlank="1" showInputMessage="1" showErrorMessage="1" promptTitle="QUANTITY TO ORDER" prompt="Write the quantity of products required to carry out the next activities. It should be consistent with the targeted circumcisions over a defined period of time" sqref="J6" xr:uid="{00000000-0002-0000-0000-00000A000000}"/>
    <dataValidation allowBlank="1" showInputMessage="1" showErrorMessage="1" promptTitle="COMMENTS" prompt="Write remarks, if any e.g explaining the losses and adjustments" sqref="K6" xr:uid="{00000000-0002-0000-0000-00000B000000}"/>
    <dataValidation allowBlank="1" showInputMessage="1" showErrorMessage="1" prompt="Write the number of people circumcised during the reporting period. The number should be consistent with the consumption of the different products" sqref="D102:G102" xr:uid="{00000000-0002-0000-0000-00000C000000}"/>
    <dataValidation allowBlank="1" showInputMessage="1" showErrorMessage="1" prompt="Write the number of people targeted to be circumcised during a defined period of time. The number should be consistent with the quantity of products available in stock and those being ordered for" sqref="D103:G103" xr:uid="{00000000-0002-0000-0000-00000D000000}"/>
    <dataValidation showInputMessage="1" showErrorMessage="1" sqref="E9:K9 E53:I53 E41:I41 E43:I43 E45:I45 E47:I47 E51:I51 E55:I55 E57:I57 E59:I59 E61:I61 E63:I63 E65:I65 E39:K39 E49:I49" xr:uid="{940A9934-60C8-4833-863B-FFC8F1CB1248}"/>
    <dataValidation allowBlank="1" showInputMessage="1" showErrorMessage="1" promptTitle="DATE PREPARED" prompt="Select the date on which the report was submitted from the Date picker" sqref="I5" xr:uid="{7A4570C4-4353-408B-A378-093CD5E8616A}"/>
    <dataValidation allowBlank="1" showInputMessage="1" showErrorMessage="1" promptTitle="START DATE" prompt="Select the date at the start of the reporting period_x000a_Pick the Date from the Date picker" sqref="I3" xr:uid="{952E6BE4-886A-4D62-AE1E-281CA05114AE}"/>
    <dataValidation allowBlank="1" showInputMessage="1" showErrorMessage="1" promptTitle="END DATE" prompt="Select the date at the end of the reporting period_x000a_Pick the Date from the Date picker" sqref="I4" xr:uid="{DEB0AF17-5F41-4E70-B59D-878F89ABA4D3}"/>
    <dataValidation allowBlank="1" showInputMessage="1" showErrorMessage="1" promptTitle="END DATE " prompt="Select the date at the end of the reporting period_x000a_Pick the Date from the Date picker" sqref="I4" xr:uid="{796B8D58-FAB3-482A-9154-F14C902F6993}"/>
  </dataValidations>
  <pageMargins left="0.70866141732283472" right="0.70866141732283472" top="0.74803149606299213" bottom="0.74803149606299213" header="0.31496062992125984" footer="0.31496062992125984"/>
  <pageSetup paperSize="9" scale="61" fitToHeight="0" orientation="landscape" horizontalDpi="300" verticalDpi="300" r:id="rId3"/>
  <headerFooter alignWithMargins="0"/>
  <rowBreaks count="2" manualBreakCount="2">
    <brk id="51" max="10" man="1"/>
    <brk id="98" max="16383" man="1"/>
  </rowBreaks>
  <extLst>
    <ext xmlns:x14="http://schemas.microsoft.com/office/spreadsheetml/2009/9/main" uri="{CCE6A557-97BC-4b89-ADB6-D9C93CAAB3DF}">
      <x14:dataValidations xmlns:xm="http://schemas.microsoft.com/office/excel/2006/main" xWindow="746" yWindow="325" count="1">
        <x14:dataValidation type="list" allowBlank="1" showInputMessage="1" showErrorMessage="1" xr:uid="{5034DD01-7108-461C-BDA2-0694B803F28C}">
          <x14:formula1>
            <xm:f>'Master List'!$B$3:$B$363</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2680-0819-4B98-85FA-48C7E1AE0547}">
  <sheetPr codeName="Sheet2">
    <tabColor rgb="FF002060"/>
  </sheetPr>
  <dimension ref="B2:F363"/>
  <sheetViews>
    <sheetView showGridLines="0" topLeftCell="A351" workbookViewId="0">
      <selection activeCell="H357" sqref="H357"/>
    </sheetView>
  </sheetViews>
  <sheetFormatPr defaultColWidth="9.140625" defaultRowHeight="15" x14ac:dyDescent="0.25"/>
  <cols>
    <col min="1" max="1" width="9.140625" style="77"/>
    <col min="2" max="2" width="38.140625" style="77" bestFit="1" customWidth="1"/>
    <col min="3" max="3" width="14" style="77" bestFit="1" customWidth="1"/>
    <col min="4" max="4" width="9.140625" style="77"/>
    <col min="5" max="5" width="11.5703125" style="77" customWidth="1"/>
    <col min="6" max="16384" width="9.140625" style="77"/>
  </cols>
  <sheetData>
    <row r="2" spans="2:6" x14ac:dyDescent="0.25">
      <c r="B2" s="76" t="s">
        <v>780</v>
      </c>
      <c r="C2" s="76" t="s">
        <v>782</v>
      </c>
      <c r="D2" s="76" t="s">
        <v>781</v>
      </c>
      <c r="E2" s="76" t="s">
        <v>136</v>
      </c>
    </row>
    <row r="3" spans="2:6" x14ac:dyDescent="0.25">
      <c r="B3" s="78" t="s">
        <v>137</v>
      </c>
      <c r="C3" s="78" t="s">
        <v>138</v>
      </c>
      <c r="D3" s="78" t="s">
        <v>139</v>
      </c>
      <c r="E3" s="78">
        <v>1</v>
      </c>
      <c r="F3" s="79"/>
    </row>
    <row r="4" spans="2:6" x14ac:dyDescent="0.25">
      <c r="B4" s="78" t="s">
        <v>140</v>
      </c>
      <c r="C4" s="78" t="s">
        <v>141</v>
      </c>
      <c r="D4" s="78" t="s">
        <v>142</v>
      </c>
      <c r="E4" s="78">
        <v>2</v>
      </c>
      <c r="F4" s="79"/>
    </row>
    <row r="5" spans="2:6" x14ac:dyDescent="0.25">
      <c r="B5" s="78" t="s">
        <v>143</v>
      </c>
      <c r="C5" s="78" t="s">
        <v>144</v>
      </c>
      <c r="D5" s="78" t="s">
        <v>145</v>
      </c>
      <c r="E5" s="78">
        <v>2</v>
      </c>
      <c r="F5" s="79"/>
    </row>
    <row r="6" spans="2:6" x14ac:dyDescent="0.25">
      <c r="B6" s="78" t="s">
        <v>146</v>
      </c>
      <c r="C6" s="78" t="s">
        <v>147</v>
      </c>
      <c r="D6" s="78" t="s">
        <v>148</v>
      </c>
      <c r="E6" s="78">
        <v>2</v>
      </c>
      <c r="F6" s="79"/>
    </row>
    <row r="7" spans="2:6" x14ac:dyDescent="0.25">
      <c r="B7" s="78" t="s">
        <v>149</v>
      </c>
      <c r="C7" s="78" t="s">
        <v>138</v>
      </c>
      <c r="D7" s="78" t="s">
        <v>150</v>
      </c>
      <c r="E7" s="78">
        <v>1</v>
      </c>
      <c r="F7" s="79"/>
    </row>
    <row r="8" spans="2:6" x14ac:dyDescent="0.25">
      <c r="B8" s="78" t="s">
        <v>151</v>
      </c>
      <c r="C8" s="78" t="s">
        <v>152</v>
      </c>
      <c r="D8" s="78" t="s">
        <v>153</v>
      </c>
      <c r="E8" s="78">
        <v>3</v>
      </c>
      <c r="F8" s="79"/>
    </row>
    <row r="9" spans="2:6" x14ac:dyDescent="0.25">
      <c r="B9" s="78" t="s">
        <v>154</v>
      </c>
      <c r="C9" s="78" t="s">
        <v>138</v>
      </c>
      <c r="D9" s="78" t="s">
        <v>155</v>
      </c>
      <c r="E9" s="78">
        <v>1</v>
      </c>
    </row>
    <row r="10" spans="2:6" x14ac:dyDescent="0.25">
      <c r="B10" s="78" t="s">
        <v>156</v>
      </c>
      <c r="C10" s="78" t="s">
        <v>157</v>
      </c>
      <c r="D10" s="78" t="s">
        <v>158</v>
      </c>
      <c r="E10" s="78">
        <v>3</v>
      </c>
    </row>
    <row r="11" spans="2:6" x14ac:dyDescent="0.25">
      <c r="B11" s="78" t="s">
        <v>159</v>
      </c>
      <c r="C11" s="78" t="s">
        <v>160</v>
      </c>
      <c r="D11" s="78" t="s">
        <v>161</v>
      </c>
      <c r="E11" s="78">
        <v>2</v>
      </c>
    </row>
    <row r="12" spans="2:6" x14ac:dyDescent="0.25">
      <c r="B12" s="78" t="s">
        <v>162</v>
      </c>
      <c r="C12" s="78" t="s">
        <v>147</v>
      </c>
      <c r="D12" s="78" t="s">
        <v>163</v>
      </c>
      <c r="E12" s="78">
        <v>2</v>
      </c>
    </row>
    <row r="13" spans="2:6" x14ac:dyDescent="0.25">
      <c r="B13" s="78" t="s">
        <v>164</v>
      </c>
      <c r="C13" s="78" t="s">
        <v>165</v>
      </c>
      <c r="D13" s="78" t="s">
        <v>166</v>
      </c>
      <c r="E13" s="78">
        <v>6</v>
      </c>
    </row>
    <row r="14" spans="2:6" x14ac:dyDescent="0.25">
      <c r="B14" s="78" t="s">
        <v>167</v>
      </c>
      <c r="C14" s="78" t="s">
        <v>168</v>
      </c>
      <c r="D14" s="78" t="s">
        <v>169</v>
      </c>
      <c r="E14" s="78">
        <v>5</v>
      </c>
    </row>
    <row r="15" spans="2:6" x14ac:dyDescent="0.25">
      <c r="B15" s="78" t="s">
        <v>170</v>
      </c>
      <c r="C15" s="78" t="s">
        <v>147</v>
      </c>
      <c r="D15" s="78" t="s">
        <v>171</v>
      </c>
      <c r="E15" s="78">
        <v>2</v>
      </c>
    </row>
    <row r="16" spans="2:6" x14ac:dyDescent="0.25">
      <c r="B16" s="78" t="s">
        <v>810</v>
      </c>
      <c r="C16" s="78" t="s">
        <v>147</v>
      </c>
      <c r="D16" s="78" t="s">
        <v>811</v>
      </c>
      <c r="E16" s="78">
        <v>2</v>
      </c>
    </row>
    <row r="17" spans="2:5" x14ac:dyDescent="0.25">
      <c r="B17" s="78" t="s">
        <v>172</v>
      </c>
      <c r="C17" s="78" t="s">
        <v>173</v>
      </c>
      <c r="D17" s="78" t="s">
        <v>174</v>
      </c>
      <c r="E17" s="78">
        <v>2</v>
      </c>
    </row>
    <row r="18" spans="2:5" x14ac:dyDescent="0.25">
      <c r="B18" s="78" t="s">
        <v>176</v>
      </c>
      <c r="C18" s="78" t="s">
        <v>177</v>
      </c>
      <c r="D18" s="78" t="s">
        <v>178</v>
      </c>
      <c r="E18" s="78">
        <v>6</v>
      </c>
    </row>
    <row r="19" spans="2:5" x14ac:dyDescent="0.25">
      <c r="B19" s="78" t="s">
        <v>179</v>
      </c>
      <c r="C19" s="78" t="s">
        <v>138</v>
      </c>
      <c r="D19" s="78" t="s">
        <v>180</v>
      </c>
      <c r="E19" s="78">
        <v>1</v>
      </c>
    </row>
    <row r="20" spans="2:5" x14ac:dyDescent="0.25">
      <c r="B20" s="78" t="s">
        <v>181</v>
      </c>
      <c r="C20" s="78" t="s">
        <v>138</v>
      </c>
      <c r="D20" s="78" t="s">
        <v>182</v>
      </c>
      <c r="E20" s="78">
        <v>1</v>
      </c>
    </row>
    <row r="21" spans="2:5" x14ac:dyDescent="0.25">
      <c r="B21" s="78" t="s">
        <v>183</v>
      </c>
      <c r="C21" s="78" t="s">
        <v>184</v>
      </c>
      <c r="D21" s="78" t="s">
        <v>185</v>
      </c>
      <c r="E21" s="78">
        <v>2</v>
      </c>
    </row>
    <row r="22" spans="2:5" x14ac:dyDescent="0.25">
      <c r="B22" s="78" t="s">
        <v>186</v>
      </c>
      <c r="C22" s="78" t="s">
        <v>138</v>
      </c>
      <c r="D22" s="78" t="s">
        <v>187</v>
      </c>
      <c r="E22" s="78">
        <v>1</v>
      </c>
    </row>
    <row r="23" spans="2:5" x14ac:dyDescent="0.25">
      <c r="B23" s="78" t="s">
        <v>188</v>
      </c>
      <c r="C23" s="78" t="s">
        <v>184</v>
      </c>
      <c r="D23" s="78" t="s">
        <v>189</v>
      </c>
      <c r="E23" s="78">
        <v>2</v>
      </c>
    </row>
    <row r="24" spans="2:5" x14ac:dyDescent="0.25">
      <c r="B24" s="78" t="s">
        <v>190</v>
      </c>
      <c r="C24" s="78" t="s">
        <v>138</v>
      </c>
      <c r="D24" s="78" t="s">
        <v>191</v>
      </c>
      <c r="E24" s="78">
        <v>1</v>
      </c>
    </row>
    <row r="25" spans="2:5" x14ac:dyDescent="0.25">
      <c r="B25" s="78" t="s">
        <v>192</v>
      </c>
      <c r="C25" s="78" t="s">
        <v>193</v>
      </c>
      <c r="D25" s="78" t="s">
        <v>194</v>
      </c>
      <c r="E25" s="78">
        <v>5</v>
      </c>
    </row>
    <row r="26" spans="2:5" x14ac:dyDescent="0.25">
      <c r="B26" s="78" t="s">
        <v>195</v>
      </c>
      <c r="C26" s="78" t="s">
        <v>196</v>
      </c>
      <c r="D26" s="78" t="s">
        <v>197</v>
      </c>
      <c r="E26" s="78">
        <v>6</v>
      </c>
    </row>
    <row r="27" spans="2:5" x14ac:dyDescent="0.25">
      <c r="B27" s="78" t="s">
        <v>198</v>
      </c>
      <c r="C27" s="78" t="s">
        <v>173</v>
      </c>
      <c r="D27" s="78" t="s">
        <v>199</v>
      </c>
      <c r="E27" s="78">
        <v>2</v>
      </c>
    </row>
    <row r="28" spans="2:5" x14ac:dyDescent="0.25">
      <c r="B28" s="78" t="s">
        <v>841</v>
      </c>
      <c r="C28" s="78" t="s">
        <v>295</v>
      </c>
      <c r="D28" s="78" t="s">
        <v>842</v>
      </c>
      <c r="E28" s="78">
        <v>5</v>
      </c>
    </row>
    <row r="29" spans="2:5" x14ac:dyDescent="0.25">
      <c r="B29" s="78" t="s">
        <v>851</v>
      </c>
      <c r="C29" s="78" t="s">
        <v>852</v>
      </c>
      <c r="D29" s="78" t="s">
        <v>853</v>
      </c>
      <c r="E29" s="78">
        <v>3</v>
      </c>
    </row>
    <row r="30" spans="2:5" x14ac:dyDescent="0.25">
      <c r="B30" s="78" t="s">
        <v>200</v>
      </c>
      <c r="C30" s="78" t="s">
        <v>201</v>
      </c>
      <c r="D30" s="78" t="s">
        <v>202</v>
      </c>
      <c r="E30" s="78">
        <v>5</v>
      </c>
    </row>
    <row r="31" spans="2:5" x14ac:dyDescent="0.25">
      <c r="B31" s="78" t="s">
        <v>203</v>
      </c>
      <c r="C31" s="78" t="s">
        <v>165</v>
      </c>
      <c r="D31" s="78" t="s">
        <v>204</v>
      </c>
      <c r="E31" s="78">
        <v>6</v>
      </c>
    </row>
    <row r="32" spans="2:5" x14ac:dyDescent="0.25">
      <c r="B32" s="78" t="s">
        <v>854</v>
      </c>
      <c r="C32" s="78" t="s">
        <v>856</v>
      </c>
      <c r="D32" s="78" t="s">
        <v>855</v>
      </c>
      <c r="E32" s="78">
        <v>3</v>
      </c>
    </row>
    <row r="33" spans="2:5" x14ac:dyDescent="0.25">
      <c r="B33" s="78" t="s">
        <v>205</v>
      </c>
      <c r="C33" s="78" t="s">
        <v>206</v>
      </c>
      <c r="D33" s="78" t="s">
        <v>207</v>
      </c>
      <c r="E33" s="78">
        <v>4</v>
      </c>
    </row>
    <row r="34" spans="2:5" x14ac:dyDescent="0.25">
      <c r="B34" s="78" t="s">
        <v>208</v>
      </c>
      <c r="C34" s="78" t="s">
        <v>206</v>
      </c>
      <c r="D34" s="78" t="s">
        <v>209</v>
      </c>
      <c r="E34" s="78">
        <v>4</v>
      </c>
    </row>
    <row r="35" spans="2:5" x14ac:dyDescent="0.25">
      <c r="B35" s="78" t="s">
        <v>210</v>
      </c>
      <c r="C35" s="78" t="s">
        <v>138</v>
      </c>
      <c r="D35" s="78" t="s">
        <v>211</v>
      </c>
      <c r="E35" s="78">
        <v>1</v>
      </c>
    </row>
    <row r="36" spans="2:5" x14ac:dyDescent="0.25">
      <c r="B36" s="78" t="s">
        <v>212</v>
      </c>
      <c r="C36" s="78" t="s">
        <v>138</v>
      </c>
      <c r="D36" s="78" t="s">
        <v>213</v>
      </c>
      <c r="E36" s="78">
        <v>1</v>
      </c>
    </row>
    <row r="37" spans="2:5" x14ac:dyDescent="0.25">
      <c r="B37" s="78" t="s">
        <v>214</v>
      </c>
      <c r="C37" s="78" t="s">
        <v>206</v>
      </c>
      <c r="D37" s="78" t="s">
        <v>215</v>
      </c>
      <c r="E37" s="78">
        <v>4</v>
      </c>
    </row>
    <row r="38" spans="2:5" x14ac:dyDescent="0.25">
      <c r="B38" s="78" t="s">
        <v>783</v>
      </c>
      <c r="C38" s="78" t="s">
        <v>138</v>
      </c>
      <c r="D38" s="78" t="s">
        <v>784</v>
      </c>
      <c r="E38" s="78">
        <v>1</v>
      </c>
    </row>
    <row r="39" spans="2:5" x14ac:dyDescent="0.25">
      <c r="B39" s="78" t="s">
        <v>216</v>
      </c>
      <c r="C39" s="78" t="s">
        <v>138</v>
      </c>
      <c r="D39" s="78" t="s">
        <v>217</v>
      </c>
      <c r="E39" s="78">
        <v>1</v>
      </c>
    </row>
    <row r="40" spans="2:5" x14ac:dyDescent="0.25">
      <c r="B40" s="78" t="s">
        <v>857</v>
      </c>
      <c r="C40" s="78" t="s">
        <v>859</v>
      </c>
      <c r="D40" s="78" t="s">
        <v>858</v>
      </c>
      <c r="E40" s="78">
        <v>1</v>
      </c>
    </row>
    <row r="41" spans="2:5" x14ac:dyDescent="0.25">
      <c r="B41" s="78" t="s">
        <v>785</v>
      </c>
      <c r="C41" s="78" t="s">
        <v>138</v>
      </c>
      <c r="D41" s="78" t="s">
        <v>786</v>
      </c>
      <c r="E41" s="78">
        <v>1</v>
      </c>
    </row>
    <row r="42" spans="2:5" x14ac:dyDescent="0.25">
      <c r="B42" s="78" t="s">
        <v>218</v>
      </c>
      <c r="C42" s="78" t="s">
        <v>206</v>
      </c>
      <c r="D42" s="78" t="s">
        <v>219</v>
      </c>
      <c r="E42" s="78">
        <v>4</v>
      </c>
    </row>
    <row r="43" spans="2:5" x14ac:dyDescent="0.25">
      <c r="B43" s="78" t="s">
        <v>220</v>
      </c>
      <c r="C43" s="78" t="s">
        <v>196</v>
      </c>
      <c r="D43" s="78" t="s">
        <v>221</v>
      </c>
      <c r="E43" s="78">
        <v>6</v>
      </c>
    </row>
    <row r="44" spans="2:5" x14ac:dyDescent="0.25">
      <c r="B44" s="78" t="s">
        <v>222</v>
      </c>
      <c r="C44" s="78" t="s">
        <v>196</v>
      </c>
      <c r="D44" s="78" t="s">
        <v>223</v>
      </c>
      <c r="E44" s="78">
        <v>6</v>
      </c>
    </row>
    <row r="45" spans="2:5" x14ac:dyDescent="0.25">
      <c r="B45" s="78" t="s">
        <v>224</v>
      </c>
      <c r="C45" s="78" t="s">
        <v>138</v>
      </c>
      <c r="D45" s="78" t="s">
        <v>225</v>
      </c>
      <c r="E45" s="78">
        <v>1</v>
      </c>
    </row>
    <row r="46" spans="2:5" x14ac:dyDescent="0.25">
      <c r="B46" s="78" t="s">
        <v>226</v>
      </c>
      <c r="C46" s="78" t="s">
        <v>138</v>
      </c>
      <c r="D46" s="78" t="s">
        <v>227</v>
      </c>
      <c r="E46" s="78">
        <v>1</v>
      </c>
    </row>
    <row r="47" spans="2:5" x14ac:dyDescent="0.25">
      <c r="B47" s="78" t="s">
        <v>228</v>
      </c>
      <c r="C47" s="78" t="s">
        <v>201</v>
      </c>
      <c r="D47" s="78" t="s">
        <v>229</v>
      </c>
      <c r="E47" s="78">
        <v>5</v>
      </c>
    </row>
    <row r="48" spans="2:5" x14ac:dyDescent="0.25">
      <c r="B48" s="78" t="s">
        <v>230</v>
      </c>
      <c r="C48" s="78" t="s">
        <v>147</v>
      </c>
      <c r="D48" s="78" t="s">
        <v>231</v>
      </c>
      <c r="E48" s="78">
        <v>2</v>
      </c>
    </row>
    <row r="49" spans="2:5" x14ac:dyDescent="0.25">
      <c r="B49" s="78" t="s">
        <v>232</v>
      </c>
      <c r="C49" s="78" t="s">
        <v>233</v>
      </c>
      <c r="D49" s="78" t="s">
        <v>234</v>
      </c>
      <c r="E49" s="78">
        <v>5</v>
      </c>
    </row>
    <row r="50" spans="2:5" x14ac:dyDescent="0.25">
      <c r="B50" s="78" t="s">
        <v>235</v>
      </c>
      <c r="C50" s="78" t="s">
        <v>206</v>
      </c>
      <c r="D50" s="78" t="s">
        <v>236</v>
      </c>
      <c r="E50" s="78">
        <v>4</v>
      </c>
    </row>
    <row r="51" spans="2:5" x14ac:dyDescent="0.25">
      <c r="B51" s="78" t="s">
        <v>237</v>
      </c>
      <c r="C51" s="78" t="s">
        <v>138</v>
      </c>
      <c r="D51" s="78" t="s">
        <v>238</v>
      </c>
      <c r="E51" s="78">
        <v>1</v>
      </c>
    </row>
    <row r="52" spans="2:5" x14ac:dyDescent="0.25">
      <c r="B52" s="78" t="s">
        <v>239</v>
      </c>
      <c r="C52" s="78" t="s">
        <v>206</v>
      </c>
      <c r="D52" s="78" t="s">
        <v>240</v>
      </c>
      <c r="E52" s="78">
        <v>4</v>
      </c>
    </row>
    <row r="53" spans="2:5" x14ac:dyDescent="0.25">
      <c r="B53" s="78" t="s">
        <v>241</v>
      </c>
      <c r="C53" s="78" t="s">
        <v>206</v>
      </c>
      <c r="D53" s="78" t="s">
        <v>242</v>
      </c>
      <c r="E53" s="78">
        <v>4</v>
      </c>
    </row>
    <row r="54" spans="2:5" x14ac:dyDescent="0.25">
      <c r="B54" s="78" t="s">
        <v>820</v>
      </c>
      <c r="C54" s="78" t="s">
        <v>206</v>
      </c>
      <c r="D54" s="78" t="s">
        <v>243</v>
      </c>
      <c r="E54" s="78">
        <v>4</v>
      </c>
    </row>
    <row r="55" spans="2:5" x14ac:dyDescent="0.25">
      <c r="B55" s="78" t="s">
        <v>244</v>
      </c>
      <c r="C55" s="78" t="s">
        <v>138</v>
      </c>
      <c r="D55" s="78" t="s">
        <v>245</v>
      </c>
      <c r="E55" s="78">
        <v>1</v>
      </c>
    </row>
    <row r="56" spans="2:5" x14ac:dyDescent="0.25">
      <c r="B56" s="78" t="s">
        <v>246</v>
      </c>
      <c r="C56" s="78" t="s">
        <v>196</v>
      </c>
      <c r="D56" s="78" t="s">
        <v>247</v>
      </c>
      <c r="E56" s="78">
        <v>6</v>
      </c>
    </row>
    <row r="57" spans="2:5" x14ac:dyDescent="0.25">
      <c r="B57" s="78" t="s">
        <v>812</v>
      </c>
      <c r="C57" s="78" t="s">
        <v>248</v>
      </c>
      <c r="D57" s="78" t="s">
        <v>249</v>
      </c>
      <c r="E57" s="78">
        <v>2</v>
      </c>
    </row>
    <row r="58" spans="2:5" x14ac:dyDescent="0.25">
      <c r="B58" s="78" t="s">
        <v>250</v>
      </c>
      <c r="C58" s="78" t="s">
        <v>251</v>
      </c>
      <c r="D58" s="78" t="s">
        <v>252</v>
      </c>
      <c r="E58" s="78">
        <v>2</v>
      </c>
    </row>
    <row r="59" spans="2:5" x14ac:dyDescent="0.25">
      <c r="B59" s="78" t="s">
        <v>787</v>
      </c>
      <c r="C59" s="78" t="s">
        <v>138</v>
      </c>
      <c r="D59" s="78" t="s">
        <v>253</v>
      </c>
      <c r="E59" s="78">
        <v>1</v>
      </c>
    </row>
    <row r="60" spans="2:5" x14ac:dyDescent="0.25">
      <c r="B60" s="78" t="s">
        <v>860</v>
      </c>
      <c r="C60" s="78" t="s">
        <v>852</v>
      </c>
      <c r="D60" s="78" t="s">
        <v>861</v>
      </c>
      <c r="E60" s="78">
        <v>3</v>
      </c>
    </row>
    <row r="61" spans="2:5" x14ac:dyDescent="0.25">
      <c r="B61" s="78" t="s">
        <v>254</v>
      </c>
      <c r="C61" s="78" t="s">
        <v>160</v>
      </c>
      <c r="D61" s="78" t="s">
        <v>255</v>
      </c>
      <c r="E61" s="78">
        <v>2</v>
      </c>
    </row>
    <row r="62" spans="2:5" x14ac:dyDescent="0.25">
      <c r="B62" s="78" t="s">
        <v>256</v>
      </c>
      <c r="C62" s="78" t="s">
        <v>138</v>
      </c>
      <c r="D62" s="78" t="s">
        <v>257</v>
      </c>
      <c r="E62" s="78">
        <v>1</v>
      </c>
    </row>
    <row r="63" spans="2:5" x14ac:dyDescent="0.25">
      <c r="B63" s="78" t="s">
        <v>258</v>
      </c>
      <c r="C63" s="78" t="s">
        <v>184</v>
      </c>
      <c r="D63" s="78" t="s">
        <v>259</v>
      </c>
      <c r="E63" s="78">
        <v>2</v>
      </c>
    </row>
    <row r="64" spans="2:5" x14ac:dyDescent="0.25">
      <c r="B64" s="78" t="s">
        <v>821</v>
      </c>
      <c r="C64" s="78" t="s">
        <v>206</v>
      </c>
      <c r="D64" s="78" t="s">
        <v>260</v>
      </c>
      <c r="E64" s="78">
        <v>4</v>
      </c>
    </row>
    <row r="65" spans="2:5" x14ac:dyDescent="0.25">
      <c r="B65" s="80" t="s">
        <v>261</v>
      </c>
      <c r="C65" s="80" t="s">
        <v>206</v>
      </c>
      <c r="D65" s="80" t="s">
        <v>262</v>
      </c>
      <c r="E65" s="80">
        <v>4</v>
      </c>
    </row>
    <row r="66" spans="2:5" x14ac:dyDescent="0.25">
      <c r="B66" s="78" t="s">
        <v>263</v>
      </c>
      <c r="C66" s="78" t="s">
        <v>264</v>
      </c>
      <c r="D66" s="78" t="s">
        <v>265</v>
      </c>
      <c r="E66" s="78">
        <v>4</v>
      </c>
    </row>
    <row r="67" spans="2:5" x14ac:dyDescent="0.25">
      <c r="B67" s="78" t="s">
        <v>266</v>
      </c>
      <c r="C67" s="78" t="s">
        <v>264</v>
      </c>
      <c r="D67" s="78" t="s">
        <v>267</v>
      </c>
      <c r="E67" s="78">
        <v>4</v>
      </c>
    </row>
    <row r="68" spans="2:5" x14ac:dyDescent="0.25">
      <c r="B68" s="78" t="s">
        <v>268</v>
      </c>
      <c r="C68" s="78" t="s">
        <v>206</v>
      </c>
      <c r="D68" s="78" t="s">
        <v>269</v>
      </c>
      <c r="E68" s="78">
        <v>4</v>
      </c>
    </row>
    <row r="69" spans="2:5" x14ac:dyDescent="0.25">
      <c r="B69" s="78" t="s">
        <v>270</v>
      </c>
      <c r="C69" s="78" t="s">
        <v>193</v>
      </c>
      <c r="D69" s="78" t="s">
        <v>271</v>
      </c>
      <c r="E69" s="78">
        <v>5</v>
      </c>
    </row>
    <row r="70" spans="2:5" x14ac:dyDescent="0.25">
      <c r="B70" s="78" t="s">
        <v>862</v>
      </c>
      <c r="C70" s="78" t="s">
        <v>859</v>
      </c>
      <c r="D70" s="78" t="s">
        <v>863</v>
      </c>
      <c r="E70" s="78">
        <v>2</v>
      </c>
    </row>
    <row r="71" spans="2:5" x14ac:dyDescent="0.25">
      <c r="B71" s="78" t="s">
        <v>864</v>
      </c>
      <c r="C71" s="78" t="s">
        <v>175</v>
      </c>
      <c r="D71" s="78" t="s">
        <v>865</v>
      </c>
      <c r="E71" s="78">
        <v>2</v>
      </c>
    </row>
    <row r="72" spans="2:5" x14ac:dyDescent="0.25">
      <c r="B72" s="78" t="s">
        <v>272</v>
      </c>
      <c r="C72" s="78" t="s">
        <v>184</v>
      </c>
      <c r="D72" s="78" t="s">
        <v>273</v>
      </c>
      <c r="E72" s="78">
        <v>2</v>
      </c>
    </row>
    <row r="73" spans="2:5" x14ac:dyDescent="0.25">
      <c r="B73" s="78" t="s">
        <v>274</v>
      </c>
      <c r="C73" s="78" t="s">
        <v>138</v>
      </c>
      <c r="D73" s="78" t="s">
        <v>275</v>
      </c>
      <c r="E73" s="78">
        <v>1</v>
      </c>
    </row>
    <row r="74" spans="2:5" x14ac:dyDescent="0.25">
      <c r="B74" s="78" t="s">
        <v>276</v>
      </c>
      <c r="C74" s="78" t="s">
        <v>144</v>
      </c>
      <c r="D74" s="78" t="s">
        <v>277</v>
      </c>
      <c r="E74" s="78">
        <v>2</v>
      </c>
    </row>
    <row r="75" spans="2:5" x14ac:dyDescent="0.25">
      <c r="B75" s="78" t="s">
        <v>278</v>
      </c>
      <c r="C75" s="78" t="s">
        <v>279</v>
      </c>
      <c r="D75" s="78" t="s">
        <v>280</v>
      </c>
      <c r="E75" s="78">
        <v>3</v>
      </c>
    </row>
    <row r="76" spans="2:5" x14ac:dyDescent="0.25">
      <c r="B76" s="78" t="s">
        <v>281</v>
      </c>
      <c r="C76" s="78" t="s">
        <v>282</v>
      </c>
      <c r="D76" s="78" t="s">
        <v>283</v>
      </c>
      <c r="E76" s="78">
        <v>5</v>
      </c>
    </row>
    <row r="77" spans="2:5" x14ac:dyDescent="0.25">
      <c r="B77" s="78" t="s">
        <v>284</v>
      </c>
      <c r="C77" s="78" t="s">
        <v>138</v>
      </c>
      <c r="D77" s="78" t="s">
        <v>285</v>
      </c>
      <c r="E77" s="78">
        <v>1</v>
      </c>
    </row>
    <row r="78" spans="2:5" x14ac:dyDescent="0.25">
      <c r="B78" s="78" t="s">
        <v>286</v>
      </c>
      <c r="C78" s="78" t="s">
        <v>138</v>
      </c>
      <c r="D78" s="78" t="s">
        <v>287</v>
      </c>
      <c r="E78" s="78">
        <v>1</v>
      </c>
    </row>
    <row r="79" spans="2:5" x14ac:dyDescent="0.25">
      <c r="B79" s="78" t="s">
        <v>288</v>
      </c>
      <c r="C79" s="78" t="s">
        <v>138</v>
      </c>
      <c r="D79" s="78" t="s">
        <v>289</v>
      </c>
      <c r="E79" s="78">
        <v>1</v>
      </c>
    </row>
    <row r="80" spans="2:5" x14ac:dyDescent="0.25">
      <c r="B80" s="78" t="s">
        <v>290</v>
      </c>
      <c r="C80" s="78" t="s">
        <v>138</v>
      </c>
      <c r="D80" s="78" t="s">
        <v>291</v>
      </c>
      <c r="E80" s="78">
        <v>1</v>
      </c>
    </row>
    <row r="81" spans="2:5" x14ac:dyDescent="0.25">
      <c r="B81" s="78" t="s">
        <v>292</v>
      </c>
      <c r="C81" s="78" t="s">
        <v>138</v>
      </c>
      <c r="D81" s="78" t="s">
        <v>293</v>
      </c>
      <c r="E81" s="78">
        <v>1</v>
      </c>
    </row>
    <row r="82" spans="2:5" x14ac:dyDescent="0.25">
      <c r="B82" s="78" t="s">
        <v>294</v>
      </c>
      <c r="C82" s="78" t="s">
        <v>295</v>
      </c>
      <c r="D82" s="78" t="s">
        <v>296</v>
      </c>
      <c r="E82" s="78">
        <v>5</v>
      </c>
    </row>
    <row r="83" spans="2:5" x14ac:dyDescent="0.25">
      <c r="B83" s="78" t="s">
        <v>297</v>
      </c>
      <c r="C83" s="78" t="s">
        <v>138</v>
      </c>
      <c r="D83" s="78" t="s">
        <v>298</v>
      </c>
      <c r="E83" s="78">
        <v>1</v>
      </c>
    </row>
    <row r="84" spans="2:5" x14ac:dyDescent="0.25">
      <c r="B84" s="78" t="s">
        <v>299</v>
      </c>
      <c r="C84" s="78" t="s">
        <v>206</v>
      </c>
      <c r="D84" s="78" t="s">
        <v>300</v>
      </c>
      <c r="E84" s="78">
        <v>4</v>
      </c>
    </row>
    <row r="85" spans="2:5" x14ac:dyDescent="0.25">
      <c r="B85" s="78" t="s">
        <v>301</v>
      </c>
      <c r="C85" s="78" t="s">
        <v>206</v>
      </c>
      <c r="D85" s="78" t="s">
        <v>302</v>
      </c>
      <c r="E85" s="78">
        <v>4</v>
      </c>
    </row>
    <row r="86" spans="2:5" x14ac:dyDescent="0.25">
      <c r="B86" s="78" t="s">
        <v>303</v>
      </c>
      <c r="C86" s="78" t="s">
        <v>138</v>
      </c>
      <c r="D86" s="78" t="s">
        <v>304</v>
      </c>
      <c r="E86" s="78">
        <v>1</v>
      </c>
    </row>
    <row r="87" spans="2:5" x14ac:dyDescent="0.25">
      <c r="B87" s="78" t="s">
        <v>305</v>
      </c>
      <c r="C87" s="78" t="s">
        <v>173</v>
      </c>
      <c r="D87" s="78" t="s">
        <v>306</v>
      </c>
      <c r="E87" s="78">
        <v>2</v>
      </c>
    </row>
    <row r="88" spans="2:5" x14ac:dyDescent="0.25">
      <c r="B88" s="78" t="s">
        <v>307</v>
      </c>
      <c r="C88" s="78" t="s">
        <v>295</v>
      </c>
      <c r="D88" s="78" t="s">
        <v>308</v>
      </c>
      <c r="E88" s="78">
        <v>5</v>
      </c>
    </row>
    <row r="89" spans="2:5" x14ac:dyDescent="0.25">
      <c r="B89" s="78" t="s">
        <v>310</v>
      </c>
      <c r="C89" s="78" t="s">
        <v>311</v>
      </c>
      <c r="D89" s="78" t="s">
        <v>312</v>
      </c>
      <c r="E89" s="78">
        <v>2</v>
      </c>
    </row>
    <row r="90" spans="2:5" x14ac:dyDescent="0.25">
      <c r="B90" s="78" t="s">
        <v>313</v>
      </c>
      <c r="C90" s="78" t="s">
        <v>206</v>
      </c>
      <c r="D90" s="78" t="s">
        <v>314</v>
      </c>
      <c r="E90" s="78">
        <v>4</v>
      </c>
    </row>
    <row r="91" spans="2:5" x14ac:dyDescent="0.25">
      <c r="B91" s="78" t="s">
        <v>316</v>
      </c>
      <c r="C91" s="78" t="s">
        <v>279</v>
      </c>
      <c r="D91" s="78" t="s">
        <v>317</v>
      </c>
      <c r="E91" s="78">
        <v>3</v>
      </c>
    </row>
    <row r="92" spans="2:5" x14ac:dyDescent="0.25">
      <c r="B92" s="78" t="s">
        <v>319</v>
      </c>
      <c r="C92" s="78" t="s">
        <v>138</v>
      </c>
      <c r="D92" s="78" t="s">
        <v>320</v>
      </c>
      <c r="E92" s="78">
        <v>1</v>
      </c>
    </row>
    <row r="93" spans="2:5" x14ac:dyDescent="0.25">
      <c r="B93" s="78" t="s">
        <v>321</v>
      </c>
      <c r="C93" s="78" t="s">
        <v>193</v>
      </c>
      <c r="D93" s="78" t="s">
        <v>322</v>
      </c>
      <c r="E93" s="78">
        <v>5</v>
      </c>
    </row>
    <row r="94" spans="2:5" x14ac:dyDescent="0.25">
      <c r="B94" s="78" t="s">
        <v>843</v>
      </c>
      <c r="C94" s="78" t="s">
        <v>295</v>
      </c>
      <c r="D94" s="78" t="s">
        <v>844</v>
      </c>
      <c r="E94" s="78">
        <v>5</v>
      </c>
    </row>
    <row r="95" spans="2:5" x14ac:dyDescent="0.25">
      <c r="B95" s="78" t="s">
        <v>323</v>
      </c>
      <c r="C95" s="78" t="s">
        <v>138</v>
      </c>
      <c r="D95" s="78" t="s">
        <v>324</v>
      </c>
      <c r="E95" s="78">
        <v>1</v>
      </c>
    </row>
    <row r="96" spans="2:5" x14ac:dyDescent="0.25">
      <c r="B96" s="78" t="s">
        <v>325</v>
      </c>
      <c r="C96" s="78" t="s">
        <v>326</v>
      </c>
      <c r="D96" s="78" t="s">
        <v>327</v>
      </c>
      <c r="E96" s="78">
        <v>5</v>
      </c>
    </row>
    <row r="97" spans="2:5" x14ac:dyDescent="0.25">
      <c r="B97" s="78" t="s">
        <v>866</v>
      </c>
      <c r="C97" s="78" t="s">
        <v>867</v>
      </c>
      <c r="D97" s="78" t="s">
        <v>868</v>
      </c>
      <c r="E97" s="78">
        <v>4</v>
      </c>
    </row>
    <row r="98" spans="2:5" x14ac:dyDescent="0.25">
      <c r="B98" s="78" t="s">
        <v>813</v>
      </c>
      <c r="C98" s="78" t="s">
        <v>248</v>
      </c>
      <c r="D98" s="78" t="s">
        <v>328</v>
      </c>
      <c r="E98" s="78">
        <v>2</v>
      </c>
    </row>
    <row r="99" spans="2:5" x14ac:dyDescent="0.25">
      <c r="B99" s="78" t="s">
        <v>329</v>
      </c>
      <c r="C99" s="78" t="s">
        <v>315</v>
      </c>
      <c r="D99" s="78" t="s">
        <v>330</v>
      </c>
      <c r="E99" s="78">
        <v>6</v>
      </c>
    </row>
    <row r="100" spans="2:5" x14ac:dyDescent="0.25">
      <c r="B100" s="78" t="s">
        <v>331</v>
      </c>
      <c r="C100" s="78" t="s">
        <v>168</v>
      </c>
      <c r="D100" s="78" t="s">
        <v>332</v>
      </c>
      <c r="E100" s="78">
        <v>5</v>
      </c>
    </row>
    <row r="101" spans="2:5" x14ac:dyDescent="0.25">
      <c r="B101" s="78" t="s">
        <v>333</v>
      </c>
      <c r="C101" s="78" t="s">
        <v>138</v>
      </c>
      <c r="D101" s="78" t="s">
        <v>334</v>
      </c>
      <c r="E101" s="78">
        <v>1</v>
      </c>
    </row>
    <row r="102" spans="2:5" x14ac:dyDescent="0.25">
      <c r="B102" s="78" t="s">
        <v>335</v>
      </c>
      <c r="C102" s="78" t="s">
        <v>138</v>
      </c>
      <c r="D102" s="78" t="s">
        <v>336</v>
      </c>
      <c r="E102" s="78">
        <v>1</v>
      </c>
    </row>
    <row r="103" spans="2:5" x14ac:dyDescent="0.25">
      <c r="B103" s="78" t="s">
        <v>869</v>
      </c>
      <c r="C103" s="78" t="s">
        <v>835</v>
      </c>
      <c r="D103" s="78" t="s">
        <v>870</v>
      </c>
      <c r="E103" s="78">
        <v>5</v>
      </c>
    </row>
    <row r="104" spans="2:5" x14ac:dyDescent="0.25">
      <c r="B104" s="78" t="s">
        <v>337</v>
      </c>
      <c r="C104" s="78" t="s">
        <v>138</v>
      </c>
      <c r="D104" s="78" t="s">
        <v>338</v>
      </c>
      <c r="E104" s="78">
        <v>1</v>
      </c>
    </row>
    <row r="105" spans="2:5" x14ac:dyDescent="0.25">
      <c r="B105" s="78" t="s">
        <v>339</v>
      </c>
      <c r="C105" s="78" t="s">
        <v>193</v>
      </c>
      <c r="D105" s="78" t="s">
        <v>340</v>
      </c>
      <c r="E105" s="78">
        <v>5</v>
      </c>
    </row>
    <row r="106" spans="2:5" x14ac:dyDescent="0.25">
      <c r="B106" s="78" t="s">
        <v>341</v>
      </c>
      <c r="C106" s="78" t="s">
        <v>193</v>
      </c>
      <c r="D106" s="78" t="s">
        <v>342</v>
      </c>
      <c r="E106" s="78">
        <v>5</v>
      </c>
    </row>
    <row r="107" spans="2:5" x14ac:dyDescent="0.25">
      <c r="B107" s="78" t="s">
        <v>871</v>
      </c>
      <c r="C107" s="78" t="s">
        <v>849</v>
      </c>
      <c r="D107" s="78" t="s">
        <v>872</v>
      </c>
      <c r="E107" s="78">
        <v>6</v>
      </c>
    </row>
    <row r="108" spans="2:5" x14ac:dyDescent="0.25">
      <c r="B108" s="78" t="s">
        <v>343</v>
      </c>
      <c r="C108" s="78" t="s">
        <v>193</v>
      </c>
      <c r="D108" s="78" t="s">
        <v>344</v>
      </c>
      <c r="E108" s="78">
        <v>5</v>
      </c>
    </row>
    <row r="109" spans="2:5" x14ac:dyDescent="0.25">
      <c r="B109" s="78" t="s">
        <v>345</v>
      </c>
      <c r="C109" s="78" t="s">
        <v>193</v>
      </c>
      <c r="D109" s="78" t="s">
        <v>346</v>
      </c>
      <c r="E109" s="78">
        <v>5</v>
      </c>
    </row>
    <row r="110" spans="2:5" x14ac:dyDescent="0.25">
      <c r="B110" s="78" t="s">
        <v>873</v>
      </c>
      <c r="C110" s="78" t="s">
        <v>835</v>
      </c>
      <c r="D110" s="78" t="s">
        <v>874</v>
      </c>
      <c r="E110" s="78">
        <v>5</v>
      </c>
    </row>
    <row r="111" spans="2:5" x14ac:dyDescent="0.25">
      <c r="B111" s="78" t="s">
        <v>347</v>
      </c>
      <c r="C111" s="78" t="s">
        <v>177</v>
      </c>
      <c r="D111" s="78" t="s">
        <v>348</v>
      </c>
      <c r="E111" s="78">
        <v>6</v>
      </c>
    </row>
    <row r="112" spans="2:5" x14ac:dyDescent="0.25">
      <c r="B112" s="78" t="s">
        <v>349</v>
      </c>
      <c r="C112" s="78" t="s">
        <v>350</v>
      </c>
      <c r="D112" s="78" t="s">
        <v>351</v>
      </c>
      <c r="E112" s="78">
        <v>2</v>
      </c>
    </row>
    <row r="113" spans="2:5" x14ac:dyDescent="0.25">
      <c r="B113" s="78" t="s">
        <v>788</v>
      </c>
      <c r="C113" s="78" t="s">
        <v>138</v>
      </c>
      <c r="D113" s="78" t="s">
        <v>789</v>
      </c>
      <c r="E113" s="78">
        <v>1</v>
      </c>
    </row>
    <row r="114" spans="2:5" x14ac:dyDescent="0.25">
      <c r="B114" s="78" t="s">
        <v>352</v>
      </c>
      <c r="C114" s="78" t="s">
        <v>138</v>
      </c>
      <c r="D114" s="78" t="s">
        <v>353</v>
      </c>
      <c r="E114" s="78">
        <v>1</v>
      </c>
    </row>
    <row r="115" spans="2:5" x14ac:dyDescent="0.25">
      <c r="B115" s="78" t="s">
        <v>829</v>
      </c>
      <c r="C115" s="78" t="s">
        <v>264</v>
      </c>
      <c r="D115" s="78" t="s">
        <v>830</v>
      </c>
      <c r="E115" s="78">
        <v>4</v>
      </c>
    </row>
    <row r="116" spans="2:5" x14ac:dyDescent="0.25">
      <c r="B116" s="78" t="s">
        <v>875</v>
      </c>
      <c r="C116" s="78" t="s">
        <v>852</v>
      </c>
      <c r="D116" s="78" t="s">
        <v>876</v>
      </c>
      <c r="E116" s="78">
        <v>3</v>
      </c>
    </row>
    <row r="117" spans="2:5" x14ac:dyDescent="0.25">
      <c r="B117" s="78" t="s">
        <v>354</v>
      </c>
      <c r="C117" s="78" t="s">
        <v>355</v>
      </c>
      <c r="D117" s="78" t="s">
        <v>356</v>
      </c>
      <c r="E117" s="78">
        <v>2</v>
      </c>
    </row>
    <row r="118" spans="2:5" x14ac:dyDescent="0.25">
      <c r="B118" s="78" t="s">
        <v>877</v>
      </c>
      <c r="C118" s="78" t="s">
        <v>834</v>
      </c>
      <c r="D118" s="78" t="s">
        <v>878</v>
      </c>
      <c r="E118" s="78">
        <v>5</v>
      </c>
    </row>
    <row r="119" spans="2:5" x14ac:dyDescent="0.25">
      <c r="B119" s="78" t="s">
        <v>357</v>
      </c>
      <c r="C119" s="78" t="s">
        <v>196</v>
      </c>
      <c r="D119" s="78" t="s">
        <v>358</v>
      </c>
      <c r="E119" s="78">
        <v>6</v>
      </c>
    </row>
    <row r="120" spans="2:5" x14ac:dyDescent="0.25">
      <c r="B120" s="78" t="s">
        <v>359</v>
      </c>
      <c r="C120" s="78" t="s">
        <v>360</v>
      </c>
      <c r="D120" s="78" t="s">
        <v>361</v>
      </c>
      <c r="E120" s="78">
        <v>6</v>
      </c>
    </row>
    <row r="121" spans="2:5" x14ac:dyDescent="0.25">
      <c r="B121" s="78" t="s">
        <v>845</v>
      </c>
      <c r="C121" s="78" t="s">
        <v>295</v>
      </c>
      <c r="D121" s="78" t="s">
        <v>846</v>
      </c>
      <c r="E121" s="78">
        <v>5</v>
      </c>
    </row>
    <row r="122" spans="2:5" x14ac:dyDescent="0.25">
      <c r="B122" s="78" t="s">
        <v>362</v>
      </c>
      <c r="C122" s="78" t="s">
        <v>138</v>
      </c>
      <c r="D122" s="78" t="s">
        <v>363</v>
      </c>
      <c r="E122" s="78">
        <v>1</v>
      </c>
    </row>
    <row r="123" spans="2:5" x14ac:dyDescent="0.25">
      <c r="B123" s="78" t="s">
        <v>364</v>
      </c>
      <c r="C123" s="78" t="s">
        <v>295</v>
      </c>
      <c r="D123" s="78" t="s">
        <v>365</v>
      </c>
      <c r="E123" s="78">
        <v>5</v>
      </c>
    </row>
    <row r="124" spans="2:5" x14ac:dyDescent="0.25">
      <c r="B124" s="78" t="s">
        <v>366</v>
      </c>
      <c r="C124" s="78" t="s">
        <v>367</v>
      </c>
      <c r="D124" s="78" t="s">
        <v>368</v>
      </c>
      <c r="E124" s="78">
        <v>3</v>
      </c>
    </row>
    <row r="125" spans="2:5" x14ac:dyDescent="0.25">
      <c r="B125" s="78" t="s">
        <v>369</v>
      </c>
      <c r="C125" s="78" t="s">
        <v>295</v>
      </c>
      <c r="D125" s="78" t="s">
        <v>370</v>
      </c>
      <c r="E125" s="78">
        <v>5</v>
      </c>
    </row>
    <row r="126" spans="2:5" x14ac:dyDescent="0.25">
      <c r="B126" s="78" t="s">
        <v>371</v>
      </c>
      <c r="C126" s="78" t="s">
        <v>193</v>
      </c>
      <c r="D126" s="78" t="s">
        <v>372</v>
      </c>
      <c r="E126" s="78">
        <v>5</v>
      </c>
    </row>
    <row r="127" spans="2:5" x14ac:dyDescent="0.25">
      <c r="B127" s="78" t="s">
        <v>373</v>
      </c>
      <c r="C127" s="78" t="s">
        <v>138</v>
      </c>
      <c r="D127" s="78" t="s">
        <v>374</v>
      </c>
      <c r="E127" s="78">
        <v>1</v>
      </c>
    </row>
    <row r="128" spans="2:5" x14ac:dyDescent="0.25">
      <c r="B128" s="78" t="s">
        <v>375</v>
      </c>
      <c r="C128" s="78" t="s">
        <v>376</v>
      </c>
      <c r="D128" s="78" t="s">
        <v>377</v>
      </c>
      <c r="E128" s="78">
        <v>6</v>
      </c>
    </row>
    <row r="129" spans="2:5" x14ac:dyDescent="0.25">
      <c r="B129" s="78" t="s">
        <v>378</v>
      </c>
      <c r="C129" s="78" t="s">
        <v>138</v>
      </c>
      <c r="D129" s="78" t="s">
        <v>379</v>
      </c>
      <c r="E129" s="78">
        <v>1</v>
      </c>
    </row>
    <row r="130" spans="2:5" x14ac:dyDescent="0.25">
      <c r="B130" s="78" t="s">
        <v>380</v>
      </c>
      <c r="C130" s="78" t="s">
        <v>193</v>
      </c>
      <c r="D130" s="78" t="s">
        <v>381</v>
      </c>
      <c r="E130" s="78">
        <v>5</v>
      </c>
    </row>
    <row r="131" spans="2:5" x14ac:dyDescent="0.25">
      <c r="B131" s="78" t="s">
        <v>382</v>
      </c>
      <c r="C131" s="78" t="s">
        <v>193</v>
      </c>
      <c r="D131" s="78" t="s">
        <v>383</v>
      </c>
      <c r="E131" s="78">
        <v>5</v>
      </c>
    </row>
    <row r="132" spans="2:5" x14ac:dyDescent="0.25">
      <c r="B132" s="78" t="s">
        <v>814</v>
      </c>
      <c r="C132" s="78" t="s">
        <v>384</v>
      </c>
      <c r="D132" s="78" t="s">
        <v>385</v>
      </c>
      <c r="E132" s="78">
        <v>2</v>
      </c>
    </row>
    <row r="133" spans="2:5" x14ac:dyDescent="0.25">
      <c r="B133" s="78" t="s">
        <v>815</v>
      </c>
      <c r="C133" s="78" t="s">
        <v>384</v>
      </c>
      <c r="D133" s="78" t="s">
        <v>385</v>
      </c>
      <c r="E133" s="78">
        <v>2</v>
      </c>
    </row>
    <row r="134" spans="2:5" x14ac:dyDescent="0.25">
      <c r="B134" s="78" t="s">
        <v>386</v>
      </c>
      <c r="C134" s="78" t="s">
        <v>387</v>
      </c>
      <c r="D134" s="78" t="s">
        <v>388</v>
      </c>
      <c r="E134" s="78">
        <v>5</v>
      </c>
    </row>
    <row r="135" spans="2:5" x14ac:dyDescent="0.25">
      <c r="B135" s="78" t="s">
        <v>389</v>
      </c>
      <c r="C135" s="78" t="s">
        <v>206</v>
      </c>
      <c r="D135" s="78" t="s">
        <v>390</v>
      </c>
      <c r="E135" s="78">
        <v>4</v>
      </c>
    </row>
    <row r="136" spans="2:5" x14ac:dyDescent="0.25">
      <c r="B136" s="78" t="s">
        <v>391</v>
      </c>
      <c r="C136" s="78" t="s">
        <v>311</v>
      </c>
      <c r="D136" s="78" t="s">
        <v>392</v>
      </c>
      <c r="E136" s="78">
        <v>2</v>
      </c>
    </row>
    <row r="137" spans="2:5" x14ac:dyDescent="0.25">
      <c r="B137" s="78" t="s">
        <v>790</v>
      </c>
      <c r="C137" s="78" t="s">
        <v>138</v>
      </c>
      <c r="D137" s="78" t="s">
        <v>791</v>
      </c>
      <c r="E137" s="78">
        <v>1</v>
      </c>
    </row>
    <row r="138" spans="2:5" x14ac:dyDescent="0.25">
      <c r="B138" s="78" t="s">
        <v>393</v>
      </c>
      <c r="C138" s="78" t="s">
        <v>206</v>
      </c>
      <c r="D138" s="78" t="s">
        <v>394</v>
      </c>
      <c r="E138" s="78">
        <v>4</v>
      </c>
    </row>
    <row r="139" spans="2:5" x14ac:dyDescent="0.25">
      <c r="B139" s="78" t="s">
        <v>395</v>
      </c>
      <c r="C139" s="78" t="s">
        <v>193</v>
      </c>
      <c r="D139" s="78" t="s">
        <v>396</v>
      </c>
      <c r="E139" s="78">
        <v>5</v>
      </c>
    </row>
    <row r="140" spans="2:5" x14ac:dyDescent="0.25">
      <c r="B140" s="78" t="s">
        <v>397</v>
      </c>
      <c r="C140" s="78" t="s">
        <v>138</v>
      </c>
      <c r="D140" s="78" t="s">
        <v>398</v>
      </c>
      <c r="E140" s="78">
        <v>1</v>
      </c>
    </row>
    <row r="141" spans="2:5" x14ac:dyDescent="0.25">
      <c r="B141" s="78" t="s">
        <v>399</v>
      </c>
      <c r="C141" s="78" t="s">
        <v>165</v>
      </c>
      <c r="D141" s="78" t="s">
        <v>400</v>
      </c>
      <c r="E141" s="78">
        <v>6</v>
      </c>
    </row>
    <row r="142" spans="2:5" x14ac:dyDescent="0.25">
      <c r="B142" s="78" t="s">
        <v>401</v>
      </c>
      <c r="C142" s="78" t="s">
        <v>165</v>
      </c>
      <c r="D142" s="78" t="s">
        <v>402</v>
      </c>
      <c r="E142" s="78">
        <v>6</v>
      </c>
    </row>
    <row r="143" spans="2:5" x14ac:dyDescent="0.25">
      <c r="B143" s="78" t="s">
        <v>403</v>
      </c>
      <c r="C143" s="78" t="s">
        <v>311</v>
      </c>
      <c r="D143" s="78" t="s">
        <v>404</v>
      </c>
      <c r="E143" s="78">
        <v>2</v>
      </c>
    </row>
    <row r="144" spans="2:5" x14ac:dyDescent="0.25">
      <c r="B144" s="78" t="s">
        <v>405</v>
      </c>
      <c r="C144" s="78" t="s">
        <v>406</v>
      </c>
      <c r="D144" s="78" t="s">
        <v>407</v>
      </c>
      <c r="E144" s="78">
        <v>2</v>
      </c>
    </row>
    <row r="145" spans="2:5" x14ac:dyDescent="0.25">
      <c r="B145" s="78" t="s">
        <v>879</v>
      </c>
      <c r="C145" s="78" t="s">
        <v>824</v>
      </c>
      <c r="D145" s="78" t="s">
        <v>880</v>
      </c>
      <c r="E145" s="78">
        <v>4</v>
      </c>
    </row>
    <row r="146" spans="2:5" x14ac:dyDescent="0.25">
      <c r="B146" s="78" t="s">
        <v>792</v>
      </c>
      <c r="C146" s="78" t="s">
        <v>138</v>
      </c>
      <c r="D146" s="78" t="s">
        <v>408</v>
      </c>
      <c r="E146" s="78">
        <v>1</v>
      </c>
    </row>
    <row r="147" spans="2:5" x14ac:dyDescent="0.25">
      <c r="B147" s="78" t="s">
        <v>881</v>
      </c>
      <c r="C147" s="78" t="s">
        <v>824</v>
      </c>
      <c r="D147" s="78" t="s">
        <v>882</v>
      </c>
      <c r="E147" s="78">
        <v>4</v>
      </c>
    </row>
    <row r="148" spans="2:5" x14ac:dyDescent="0.25">
      <c r="B148" s="78" t="s">
        <v>409</v>
      </c>
      <c r="C148" s="78" t="s">
        <v>147</v>
      </c>
      <c r="D148" s="78" t="s">
        <v>410</v>
      </c>
      <c r="E148" s="78">
        <v>2</v>
      </c>
    </row>
    <row r="149" spans="2:5" x14ac:dyDescent="0.25">
      <c r="B149" s="78" t="s">
        <v>411</v>
      </c>
      <c r="C149" s="78" t="s">
        <v>318</v>
      </c>
      <c r="D149" s="78" t="s">
        <v>412</v>
      </c>
      <c r="E149" s="78">
        <v>3</v>
      </c>
    </row>
    <row r="150" spans="2:5" x14ac:dyDescent="0.25">
      <c r="B150" s="78" t="s">
        <v>836</v>
      </c>
      <c r="C150" s="78" t="s">
        <v>326</v>
      </c>
      <c r="D150" s="78" t="s">
        <v>837</v>
      </c>
      <c r="E150" s="78">
        <v>5</v>
      </c>
    </row>
    <row r="151" spans="2:5" x14ac:dyDescent="0.25">
      <c r="B151" s="78" t="s">
        <v>413</v>
      </c>
      <c r="C151" s="78" t="s">
        <v>138</v>
      </c>
      <c r="D151" s="78" t="s">
        <v>414</v>
      </c>
      <c r="E151" s="78">
        <v>1</v>
      </c>
    </row>
    <row r="152" spans="2:5" x14ac:dyDescent="0.25">
      <c r="B152" s="78" t="s">
        <v>415</v>
      </c>
      <c r="C152" s="78" t="s">
        <v>282</v>
      </c>
      <c r="D152" s="78" t="s">
        <v>416</v>
      </c>
      <c r="E152" s="78">
        <v>5</v>
      </c>
    </row>
    <row r="153" spans="2:5" x14ac:dyDescent="0.25">
      <c r="B153" s="78" t="s">
        <v>417</v>
      </c>
      <c r="C153" s="78" t="s">
        <v>233</v>
      </c>
      <c r="D153" s="78" t="s">
        <v>418</v>
      </c>
      <c r="E153" s="78">
        <v>5</v>
      </c>
    </row>
    <row r="154" spans="2:5" x14ac:dyDescent="0.25">
      <c r="B154" s="78" t="s">
        <v>419</v>
      </c>
      <c r="C154" s="78" t="s">
        <v>376</v>
      </c>
      <c r="D154" s="78" t="s">
        <v>420</v>
      </c>
      <c r="E154" s="78">
        <v>6</v>
      </c>
    </row>
    <row r="155" spans="2:5" x14ac:dyDescent="0.25">
      <c r="B155" s="78" t="s">
        <v>421</v>
      </c>
      <c r="C155" s="78" t="s">
        <v>193</v>
      </c>
      <c r="D155" s="78" t="s">
        <v>422</v>
      </c>
      <c r="E155" s="78">
        <v>5</v>
      </c>
    </row>
    <row r="156" spans="2:5" x14ac:dyDescent="0.25">
      <c r="B156" s="78" t="s">
        <v>423</v>
      </c>
      <c r="C156" s="78" t="s">
        <v>193</v>
      </c>
      <c r="D156" s="78" t="s">
        <v>424</v>
      </c>
      <c r="E156" s="78">
        <v>5</v>
      </c>
    </row>
    <row r="157" spans="2:5" x14ac:dyDescent="0.25">
      <c r="B157" s="78" t="s">
        <v>425</v>
      </c>
      <c r="C157" s="78" t="s">
        <v>282</v>
      </c>
      <c r="D157" s="78" t="s">
        <v>426</v>
      </c>
      <c r="E157" s="78">
        <v>5</v>
      </c>
    </row>
    <row r="158" spans="2:5" x14ac:dyDescent="0.25">
      <c r="B158" s="78" t="s">
        <v>427</v>
      </c>
      <c r="C158" s="78" t="s">
        <v>367</v>
      </c>
      <c r="D158" s="78" t="s">
        <v>428</v>
      </c>
      <c r="E158" s="78">
        <v>3</v>
      </c>
    </row>
    <row r="159" spans="2:5" x14ac:dyDescent="0.25">
      <c r="B159" s="78" t="s">
        <v>429</v>
      </c>
      <c r="C159" s="78" t="s">
        <v>430</v>
      </c>
      <c r="D159" s="78" t="s">
        <v>431</v>
      </c>
      <c r="E159" s="78">
        <v>6</v>
      </c>
    </row>
    <row r="160" spans="2:5" x14ac:dyDescent="0.25">
      <c r="B160" s="78" t="s">
        <v>432</v>
      </c>
      <c r="C160" s="78" t="s">
        <v>165</v>
      </c>
      <c r="D160" s="78" t="s">
        <v>433</v>
      </c>
      <c r="E160" s="78">
        <v>6</v>
      </c>
    </row>
    <row r="161" spans="2:5" x14ac:dyDescent="0.25">
      <c r="B161" s="78" t="s">
        <v>434</v>
      </c>
      <c r="C161" s="78" t="s">
        <v>138</v>
      </c>
      <c r="D161" s="78" t="s">
        <v>435</v>
      </c>
      <c r="E161" s="78">
        <v>1</v>
      </c>
    </row>
    <row r="162" spans="2:5" x14ac:dyDescent="0.25">
      <c r="B162" s="78" t="s">
        <v>436</v>
      </c>
      <c r="C162" s="78" t="s">
        <v>355</v>
      </c>
      <c r="D162" s="78" t="s">
        <v>437</v>
      </c>
      <c r="E162" s="78">
        <v>2</v>
      </c>
    </row>
    <row r="163" spans="2:5" x14ac:dyDescent="0.25">
      <c r="B163" s="78" t="s">
        <v>438</v>
      </c>
      <c r="C163" s="78" t="s">
        <v>138</v>
      </c>
      <c r="D163" s="78" t="s">
        <v>439</v>
      </c>
      <c r="E163" s="78">
        <v>1</v>
      </c>
    </row>
    <row r="164" spans="2:5" x14ac:dyDescent="0.25">
      <c r="B164" s="78" t="s">
        <v>440</v>
      </c>
      <c r="C164" s="78" t="s">
        <v>206</v>
      </c>
      <c r="D164" s="78" t="s">
        <v>441</v>
      </c>
      <c r="E164" s="78">
        <v>4</v>
      </c>
    </row>
    <row r="165" spans="2:5" x14ac:dyDescent="0.25">
      <c r="B165" s="78" t="s">
        <v>442</v>
      </c>
      <c r="C165" s="78" t="s">
        <v>168</v>
      </c>
      <c r="D165" s="78" t="s">
        <v>443</v>
      </c>
      <c r="E165" s="78">
        <v>5</v>
      </c>
    </row>
    <row r="166" spans="2:5" x14ac:dyDescent="0.25">
      <c r="B166" s="78" t="s">
        <v>444</v>
      </c>
      <c r="C166" s="78" t="s">
        <v>311</v>
      </c>
      <c r="D166" s="78" t="s">
        <v>445</v>
      </c>
      <c r="E166" s="78">
        <v>2</v>
      </c>
    </row>
    <row r="167" spans="2:5" x14ac:dyDescent="0.25">
      <c r="B167" s="78" t="s">
        <v>446</v>
      </c>
      <c r="C167" s="78" t="s">
        <v>251</v>
      </c>
      <c r="D167" s="78" t="s">
        <v>447</v>
      </c>
      <c r="E167" s="78">
        <v>2</v>
      </c>
    </row>
    <row r="168" spans="2:5" x14ac:dyDescent="0.25">
      <c r="B168" s="78" t="s">
        <v>448</v>
      </c>
      <c r="C168" s="78" t="s">
        <v>309</v>
      </c>
      <c r="D168" s="78" t="s">
        <v>449</v>
      </c>
      <c r="E168" s="78">
        <v>3</v>
      </c>
    </row>
    <row r="169" spans="2:5" x14ac:dyDescent="0.25">
      <c r="B169" s="78" t="s">
        <v>450</v>
      </c>
      <c r="C169" s="78" t="s">
        <v>177</v>
      </c>
      <c r="D169" s="78" t="s">
        <v>451</v>
      </c>
      <c r="E169" s="78">
        <v>6</v>
      </c>
    </row>
    <row r="170" spans="2:5" x14ac:dyDescent="0.25">
      <c r="B170" s="78" t="s">
        <v>883</v>
      </c>
      <c r="C170" s="78" t="s">
        <v>847</v>
      </c>
      <c r="D170" s="78" t="s">
        <v>884</v>
      </c>
      <c r="E170" s="78">
        <v>6</v>
      </c>
    </row>
    <row r="171" spans="2:5" x14ac:dyDescent="0.25">
      <c r="B171" s="78" t="s">
        <v>452</v>
      </c>
      <c r="C171" s="78" t="s">
        <v>453</v>
      </c>
      <c r="D171" s="78" t="s">
        <v>454</v>
      </c>
      <c r="E171" s="78">
        <v>6</v>
      </c>
    </row>
    <row r="172" spans="2:5" x14ac:dyDescent="0.25">
      <c r="B172" s="78" t="s">
        <v>455</v>
      </c>
      <c r="C172" s="78" t="s">
        <v>282</v>
      </c>
      <c r="D172" s="78" t="s">
        <v>456</v>
      </c>
      <c r="E172" s="78">
        <v>5</v>
      </c>
    </row>
    <row r="173" spans="2:5" x14ac:dyDescent="0.25">
      <c r="B173" s="78" t="s">
        <v>457</v>
      </c>
      <c r="C173" s="78" t="s">
        <v>282</v>
      </c>
      <c r="D173" s="78" t="s">
        <v>458</v>
      </c>
      <c r="E173" s="78">
        <v>5</v>
      </c>
    </row>
    <row r="174" spans="2:5" x14ac:dyDescent="0.25">
      <c r="B174" s="78" t="s">
        <v>885</v>
      </c>
      <c r="C174" s="78" t="s">
        <v>835</v>
      </c>
      <c r="D174" s="78" t="s">
        <v>886</v>
      </c>
      <c r="E174" s="78">
        <v>5</v>
      </c>
    </row>
    <row r="175" spans="2:5" x14ac:dyDescent="0.25">
      <c r="B175" s="78" t="s">
        <v>887</v>
      </c>
      <c r="C175" s="78" t="s">
        <v>824</v>
      </c>
      <c r="D175" s="78" t="s">
        <v>888</v>
      </c>
      <c r="E175" s="78">
        <v>4</v>
      </c>
    </row>
    <row r="176" spans="2:5" x14ac:dyDescent="0.25">
      <c r="B176" s="78" t="s">
        <v>459</v>
      </c>
      <c r="C176" s="78" t="s">
        <v>264</v>
      </c>
      <c r="D176" s="78" t="s">
        <v>460</v>
      </c>
      <c r="E176" s="78">
        <v>4</v>
      </c>
    </row>
    <row r="177" spans="2:5" x14ac:dyDescent="0.25">
      <c r="B177" s="78" t="s">
        <v>461</v>
      </c>
      <c r="C177" s="78" t="s">
        <v>193</v>
      </c>
      <c r="D177" s="78" t="s">
        <v>462</v>
      </c>
      <c r="E177" s="78">
        <v>5</v>
      </c>
    </row>
    <row r="178" spans="2:5" x14ac:dyDescent="0.25">
      <c r="B178" s="78" t="s">
        <v>463</v>
      </c>
      <c r="C178" s="78" t="s">
        <v>464</v>
      </c>
      <c r="D178" s="78" t="s">
        <v>465</v>
      </c>
      <c r="E178" s="78">
        <v>2</v>
      </c>
    </row>
    <row r="179" spans="2:5" x14ac:dyDescent="0.25">
      <c r="B179" s="78" t="s">
        <v>466</v>
      </c>
      <c r="C179" s="78" t="s">
        <v>360</v>
      </c>
      <c r="D179" s="78" t="s">
        <v>467</v>
      </c>
      <c r="E179" s="78">
        <v>6</v>
      </c>
    </row>
    <row r="180" spans="2:5" x14ac:dyDescent="0.25">
      <c r="B180" s="78" t="s">
        <v>468</v>
      </c>
      <c r="C180" s="78" t="s">
        <v>138</v>
      </c>
      <c r="D180" s="78" t="s">
        <v>469</v>
      </c>
      <c r="E180" s="78">
        <v>1</v>
      </c>
    </row>
    <row r="181" spans="2:5" x14ac:dyDescent="0.25">
      <c r="B181" s="78" t="s">
        <v>470</v>
      </c>
      <c r="C181" s="78" t="s">
        <v>141</v>
      </c>
      <c r="D181" s="78" t="s">
        <v>471</v>
      </c>
      <c r="E181" s="78">
        <v>2</v>
      </c>
    </row>
    <row r="182" spans="2:5" x14ac:dyDescent="0.25">
      <c r="B182" s="78" t="s">
        <v>793</v>
      </c>
      <c r="C182" s="78" t="s">
        <v>138</v>
      </c>
      <c r="D182" s="78" t="s">
        <v>794</v>
      </c>
      <c r="E182" s="78">
        <v>1</v>
      </c>
    </row>
    <row r="183" spans="2:5" x14ac:dyDescent="0.25">
      <c r="B183" s="78" t="s">
        <v>472</v>
      </c>
      <c r="C183" s="78" t="s">
        <v>206</v>
      </c>
      <c r="D183" s="78" t="s">
        <v>473</v>
      </c>
      <c r="E183" s="78">
        <v>4</v>
      </c>
    </row>
    <row r="184" spans="2:5" x14ac:dyDescent="0.25">
      <c r="B184" s="78" t="s">
        <v>474</v>
      </c>
      <c r="C184" s="78" t="s">
        <v>138</v>
      </c>
      <c r="D184" s="78" t="s">
        <v>475</v>
      </c>
      <c r="E184" s="78">
        <v>1</v>
      </c>
    </row>
    <row r="185" spans="2:5" x14ac:dyDescent="0.25">
      <c r="B185" s="78" t="s">
        <v>476</v>
      </c>
      <c r="C185" s="78" t="s">
        <v>138</v>
      </c>
      <c r="D185" s="78" t="s">
        <v>477</v>
      </c>
      <c r="E185" s="78">
        <v>1</v>
      </c>
    </row>
    <row r="186" spans="2:5" x14ac:dyDescent="0.25">
      <c r="B186" s="78" t="s">
        <v>478</v>
      </c>
      <c r="C186" s="78" t="s">
        <v>282</v>
      </c>
      <c r="D186" s="78" t="s">
        <v>479</v>
      </c>
      <c r="E186" s="78">
        <v>5</v>
      </c>
    </row>
    <row r="187" spans="2:5" x14ac:dyDescent="0.25">
      <c r="B187" s="78" t="s">
        <v>480</v>
      </c>
      <c r="C187" s="78" t="s">
        <v>206</v>
      </c>
      <c r="D187" s="78" t="s">
        <v>481</v>
      </c>
      <c r="E187" s="78">
        <v>4</v>
      </c>
    </row>
    <row r="188" spans="2:5" x14ac:dyDescent="0.25">
      <c r="B188" s="78" t="s">
        <v>795</v>
      </c>
      <c r="C188" s="78" t="s">
        <v>138</v>
      </c>
      <c r="D188" s="78" t="s">
        <v>796</v>
      </c>
      <c r="E188" s="78">
        <v>1</v>
      </c>
    </row>
    <row r="189" spans="2:5" x14ac:dyDescent="0.25">
      <c r="B189" s="78" t="s">
        <v>797</v>
      </c>
      <c r="C189" s="78" t="s">
        <v>138</v>
      </c>
      <c r="D189" s="78" t="s">
        <v>482</v>
      </c>
      <c r="E189" s="78">
        <v>1</v>
      </c>
    </row>
    <row r="190" spans="2:5" x14ac:dyDescent="0.25">
      <c r="B190" s="78" t="s">
        <v>483</v>
      </c>
      <c r="C190" s="78" t="s">
        <v>315</v>
      </c>
      <c r="D190" s="78" t="s">
        <v>484</v>
      </c>
      <c r="E190" s="78">
        <v>6</v>
      </c>
    </row>
    <row r="191" spans="2:5" x14ac:dyDescent="0.25">
      <c r="B191" s="78" t="s">
        <v>485</v>
      </c>
      <c r="C191" s="78" t="s">
        <v>196</v>
      </c>
      <c r="D191" s="78" t="s">
        <v>486</v>
      </c>
      <c r="E191" s="78">
        <v>6</v>
      </c>
    </row>
    <row r="192" spans="2:5" x14ac:dyDescent="0.25">
      <c r="B192" s="78" t="s">
        <v>487</v>
      </c>
      <c r="C192" s="78" t="s">
        <v>488</v>
      </c>
      <c r="D192" s="78" t="s">
        <v>489</v>
      </c>
      <c r="E192" s="78">
        <v>5</v>
      </c>
    </row>
    <row r="193" spans="2:5" x14ac:dyDescent="0.25">
      <c r="B193" s="78" t="s">
        <v>798</v>
      </c>
      <c r="C193" s="78" t="s">
        <v>138</v>
      </c>
      <c r="D193" s="78" t="s">
        <v>799</v>
      </c>
      <c r="E193" s="78">
        <v>1</v>
      </c>
    </row>
    <row r="194" spans="2:5" x14ac:dyDescent="0.25">
      <c r="B194" s="78" t="s">
        <v>490</v>
      </c>
      <c r="C194" s="78" t="s">
        <v>248</v>
      </c>
      <c r="D194" s="78" t="s">
        <v>491</v>
      </c>
      <c r="E194" s="78">
        <v>2</v>
      </c>
    </row>
    <row r="195" spans="2:5" x14ac:dyDescent="0.25">
      <c r="B195" s="78" t="s">
        <v>492</v>
      </c>
      <c r="C195" s="78" t="s">
        <v>315</v>
      </c>
      <c r="D195" s="78" t="s">
        <v>493</v>
      </c>
      <c r="E195" s="78">
        <v>6</v>
      </c>
    </row>
    <row r="196" spans="2:5" x14ac:dyDescent="0.25">
      <c r="B196" s="78" t="s">
        <v>494</v>
      </c>
      <c r="C196" s="78" t="s">
        <v>387</v>
      </c>
      <c r="D196" s="78" t="s">
        <v>495</v>
      </c>
      <c r="E196" s="78">
        <v>5</v>
      </c>
    </row>
    <row r="197" spans="2:5" x14ac:dyDescent="0.25">
      <c r="B197" s="78" t="s">
        <v>496</v>
      </c>
      <c r="C197" s="78" t="s">
        <v>138</v>
      </c>
      <c r="D197" s="78" t="s">
        <v>497</v>
      </c>
      <c r="E197" s="78">
        <v>1</v>
      </c>
    </row>
    <row r="198" spans="2:5" x14ac:dyDescent="0.25">
      <c r="B198" s="78" t="s">
        <v>498</v>
      </c>
      <c r="C198" s="78" t="s">
        <v>138</v>
      </c>
      <c r="D198" s="78" t="s">
        <v>499</v>
      </c>
      <c r="E198" s="78">
        <v>1</v>
      </c>
    </row>
    <row r="199" spans="2:5" x14ac:dyDescent="0.25">
      <c r="B199" s="78" t="s">
        <v>889</v>
      </c>
      <c r="C199" s="78" t="s">
        <v>824</v>
      </c>
      <c r="D199" s="78" t="s">
        <v>890</v>
      </c>
      <c r="E199" s="78">
        <v>4</v>
      </c>
    </row>
    <row r="200" spans="2:5" x14ac:dyDescent="0.25">
      <c r="B200" s="78" t="s">
        <v>500</v>
      </c>
      <c r="C200" s="78" t="s">
        <v>315</v>
      </c>
      <c r="D200" s="78" t="s">
        <v>501</v>
      </c>
      <c r="E200" s="78">
        <v>6</v>
      </c>
    </row>
    <row r="201" spans="2:5" x14ac:dyDescent="0.25">
      <c r="B201" s="78" t="s">
        <v>502</v>
      </c>
      <c r="C201" s="78" t="s">
        <v>138</v>
      </c>
      <c r="D201" s="78" t="s">
        <v>503</v>
      </c>
      <c r="E201" s="78">
        <v>1</v>
      </c>
    </row>
    <row r="202" spans="2:5" x14ac:dyDescent="0.25">
      <c r="B202" s="78" t="s">
        <v>504</v>
      </c>
      <c r="C202" s="78" t="s">
        <v>138</v>
      </c>
      <c r="D202" s="78" t="s">
        <v>505</v>
      </c>
      <c r="E202" s="78">
        <v>1</v>
      </c>
    </row>
    <row r="203" spans="2:5" x14ac:dyDescent="0.25">
      <c r="B203" s="78" t="s">
        <v>506</v>
      </c>
      <c r="C203" s="78" t="s">
        <v>138</v>
      </c>
      <c r="D203" s="78" t="s">
        <v>507</v>
      </c>
      <c r="E203" s="78">
        <v>1</v>
      </c>
    </row>
    <row r="204" spans="2:5" x14ac:dyDescent="0.25">
      <c r="B204" s="78" t="s">
        <v>508</v>
      </c>
      <c r="C204" s="78" t="s">
        <v>282</v>
      </c>
      <c r="D204" s="78" t="s">
        <v>509</v>
      </c>
      <c r="E204" s="78">
        <v>5</v>
      </c>
    </row>
    <row r="205" spans="2:5" x14ac:dyDescent="0.25">
      <c r="B205" s="78" t="s">
        <v>510</v>
      </c>
      <c r="C205" s="78" t="s">
        <v>193</v>
      </c>
      <c r="D205" s="78" t="s">
        <v>511</v>
      </c>
      <c r="E205" s="78">
        <v>5</v>
      </c>
    </row>
    <row r="206" spans="2:5" x14ac:dyDescent="0.25">
      <c r="B206" s="78" t="s">
        <v>512</v>
      </c>
      <c r="C206" s="78" t="s">
        <v>387</v>
      </c>
      <c r="D206" s="78" t="s">
        <v>513</v>
      </c>
      <c r="E206" s="78">
        <v>5</v>
      </c>
    </row>
    <row r="207" spans="2:5" x14ac:dyDescent="0.25">
      <c r="B207" s="78" t="s">
        <v>514</v>
      </c>
      <c r="C207" s="78" t="s">
        <v>282</v>
      </c>
      <c r="D207" s="78" t="s">
        <v>515</v>
      </c>
      <c r="E207" s="78">
        <v>5</v>
      </c>
    </row>
    <row r="208" spans="2:5" x14ac:dyDescent="0.25">
      <c r="B208" s="78" t="s">
        <v>516</v>
      </c>
      <c r="C208" s="78" t="s">
        <v>517</v>
      </c>
      <c r="D208" s="78" t="s">
        <v>518</v>
      </c>
      <c r="E208" s="78">
        <v>5</v>
      </c>
    </row>
    <row r="209" spans="2:5" x14ac:dyDescent="0.25">
      <c r="B209" s="78" t="s">
        <v>519</v>
      </c>
      <c r="C209" s="78" t="s">
        <v>184</v>
      </c>
      <c r="D209" s="78" t="s">
        <v>520</v>
      </c>
      <c r="E209" s="78">
        <v>2</v>
      </c>
    </row>
    <row r="210" spans="2:5" x14ac:dyDescent="0.25">
      <c r="B210" s="78" t="s">
        <v>521</v>
      </c>
      <c r="C210" s="78" t="s">
        <v>206</v>
      </c>
      <c r="D210" s="78" t="s">
        <v>522</v>
      </c>
      <c r="E210" s="78">
        <v>4</v>
      </c>
    </row>
    <row r="211" spans="2:5" x14ac:dyDescent="0.25">
      <c r="B211" s="78" t="s">
        <v>523</v>
      </c>
      <c r="C211" s="78" t="s">
        <v>206</v>
      </c>
      <c r="D211" s="78" t="s">
        <v>524</v>
      </c>
      <c r="E211" s="78">
        <v>4</v>
      </c>
    </row>
    <row r="212" spans="2:5" x14ac:dyDescent="0.25">
      <c r="B212" s="78" t="s">
        <v>525</v>
      </c>
      <c r="C212" s="78" t="s">
        <v>311</v>
      </c>
      <c r="D212" s="78" t="s">
        <v>526</v>
      </c>
      <c r="E212" s="78">
        <v>2</v>
      </c>
    </row>
    <row r="213" spans="2:5" x14ac:dyDescent="0.25">
      <c r="B213" s="78" t="s">
        <v>527</v>
      </c>
      <c r="C213" s="78" t="s">
        <v>168</v>
      </c>
      <c r="D213" s="78" t="s">
        <v>528</v>
      </c>
      <c r="E213" s="78">
        <v>5</v>
      </c>
    </row>
    <row r="214" spans="2:5" x14ac:dyDescent="0.25">
      <c r="B214" s="78" t="s">
        <v>822</v>
      </c>
      <c r="C214" s="78" t="s">
        <v>206</v>
      </c>
      <c r="D214" s="78" t="s">
        <v>823</v>
      </c>
      <c r="E214" s="78">
        <v>4</v>
      </c>
    </row>
    <row r="215" spans="2:5" x14ac:dyDescent="0.25">
      <c r="B215" s="78" t="s">
        <v>529</v>
      </c>
      <c r="C215" s="78" t="s">
        <v>184</v>
      </c>
      <c r="D215" s="78" t="s">
        <v>530</v>
      </c>
      <c r="E215" s="78">
        <v>2</v>
      </c>
    </row>
    <row r="216" spans="2:5" x14ac:dyDescent="0.25">
      <c r="B216" s="78" t="s">
        <v>891</v>
      </c>
      <c r="C216" s="78" t="s">
        <v>809</v>
      </c>
      <c r="D216" s="78" t="s">
        <v>892</v>
      </c>
      <c r="E216" s="78">
        <v>2</v>
      </c>
    </row>
    <row r="217" spans="2:5" x14ac:dyDescent="0.25">
      <c r="B217" s="78" t="s">
        <v>531</v>
      </c>
      <c r="C217" s="78" t="s">
        <v>532</v>
      </c>
      <c r="D217" s="78" t="s">
        <v>533</v>
      </c>
      <c r="E217" s="78">
        <v>3</v>
      </c>
    </row>
    <row r="218" spans="2:5" x14ac:dyDescent="0.25">
      <c r="B218" s="78" t="s">
        <v>831</v>
      </c>
      <c r="C218" s="78" t="s">
        <v>264</v>
      </c>
      <c r="D218" s="78" t="s">
        <v>832</v>
      </c>
      <c r="E218" s="78">
        <v>4</v>
      </c>
    </row>
    <row r="219" spans="2:5" x14ac:dyDescent="0.25">
      <c r="B219" s="78" t="s">
        <v>893</v>
      </c>
      <c r="C219" s="78" t="s">
        <v>856</v>
      </c>
      <c r="D219" s="78" t="s">
        <v>894</v>
      </c>
      <c r="E219" s="78">
        <v>3</v>
      </c>
    </row>
    <row r="220" spans="2:5" x14ac:dyDescent="0.25">
      <c r="B220" s="78" t="s">
        <v>534</v>
      </c>
      <c r="C220" s="78" t="s">
        <v>264</v>
      </c>
      <c r="D220" s="78" t="s">
        <v>535</v>
      </c>
      <c r="E220" s="78">
        <v>4</v>
      </c>
    </row>
    <row r="221" spans="2:5" x14ac:dyDescent="0.25">
      <c r="B221" s="78" t="s">
        <v>848</v>
      </c>
      <c r="C221" s="78" t="s">
        <v>376</v>
      </c>
      <c r="D221" s="78" t="s">
        <v>536</v>
      </c>
      <c r="E221" s="78">
        <v>6</v>
      </c>
    </row>
    <row r="222" spans="2:5" x14ac:dyDescent="0.25">
      <c r="B222" s="78" t="s">
        <v>537</v>
      </c>
      <c r="C222" s="78" t="s">
        <v>196</v>
      </c>
      <c r="D222" s="78" t="s">
        <v>538</v>
      </c>
      <c r="E222" s="78">
        <v>6</v>
      </c>
    </row>
    <row r="223" spans="2:5" x14ac:dyDescent="0.25">
      <c r="B223" s="78" t="s">
        <v>838</v>
      </c>
      <c r="C223" s="78" t="s">
        <v>295</v>
      </c>
      <c r="D223" s="78" t="s">
        <v>539</v>
      </c>
      <c r="E223" s="78">
        <v>5</v>
      </c>
    </row>
    <row r="224" spans="2:5" x14ac:dyDescent="0.25">
      <c r="B224" s="78" t="s">
        <v>540</v>
      </c>
      <c r="C224" s="78" t="s">
        <v>138</v>
      </c>
      <c r="D224" s="78" t="s">
        <v>541</v>
      </c>
      <c r="E224" s="78">
        <v>1</v>
      </c>
    </row>
    <row r="225" spans="2:5" x14ac:dyDescent="0.25">
      <c r="B225" s="78" t="s">
        <v>542</v>
      </c>
      <c r="C225" s="78" t="s">
        <v>138</v>
      </c>
      <c r="D225" s="78" t="s">
        <v>543</v>
      </c>
      <c r="E225" s="78">
        <v>1</v>
      </c>
    </row>
    <row r="226" spans="2:5" x14ac:dyDescent="0.25">
      <c r="B226" s="78" t="s">
        <v>544</v>
      </c>
      <c r="C226" s="78" t="s">
        <v>196</v>
      </c>
      <c r="D226" s="78" t="s">
        <v>545</v>
      </c>
      <c r="E226" s="78">
        <v>6</v>
      </c>
    </row>
    <row r="227" spans="2:5" x14ac:dyDescent="0.25">
      <c r="B227" s="78" t="s">
        <v>546</v>
      </c>
      <c r="C227" s="78" t="s">
        <v>206</v>
      </c>
      <c r="D227" s="78" t="s">
        <v>547</v>
      </c>
      <c r="E227" s="78">
        <v>4</v>
      </c>
    </row>
    <row r="228" spans="2:5" x14ac:dyDescent="0.25">
      <c r="B228" s="78" t="s">
        <v>548</v>
      </c>
      <c r="C228" s="78" t="s">
        <v>193</v>
      </c>
      <c r="D228" s="78" t="s">
        <v>549</v>
      </c>
      <c r="E228" s="78">
        <v>5</v>
      </c>
    </row>
    <row r="229" spans="2:5" x14ac:dyDescent="0.25">
      <c r="B229" s="78" t="s">
        <v>895</v>
      </c>
      <c r="C229" s="78" t="s">
        <v>809</v>
      </c>
      <c r="D229" s="78" t="s">
        <v>896</v>
      </c>
      <c r="E229" s="78">
        <v>2</v>
      </c>
    </row>
    <row r="230" spans="2:5" x14ac:dyDescent="0.25">
      <c r="B230" s="78" t="s">
        <v>550</v>
      </c>
      <c r="C230" s="78" t="s">
        <v>264</v>
      </c>
      <c r="D230" s="78" t="s">
        <v>551</v>
      </c>
      <c r="E230" s="78">
        <v>4</v>
      </c>
    </row>
    <row r="231" spans="2:5" x14ac:dyDescent="0.25">
      <c r="B231" s="78" t="s">
        <v>552</v>
      </c>
      <c r="C231" s="78" t="s">
        <v>138</v>
      </c>
      <c r="D231" s="78" t="s">
        <v>553</v>
      </c>
      <c r="E231" s="78">
        <v>1</v>
      </c>
    </row>
    <row r="232" spans="2:5" x14ac:dyDescent="0.25">
      <c r="B232" s="78" t="s">
        <v>554</v>
      </c>
      <c r="C232" s="78" t="s">
        <v>318</v>
      </c>
      <c r="D232" s="78" t="s">
        <v>555</v>
      </c>
      <c r="E232" s="78">
        <v>3</v>
      </c>
    </row>
    <row r="233" spans="2:5" x14ac:dyDescent="0.25">
      <c r="B233" s="78" t="s">
        <v>556</v>
      </c>
      <c r="C233" s="78" t="s">
        <v>157</v>
      </c>
      <c r="D233" s="78" t="s">
        <v>557</v>
      </c>
      <c r="E233" s="78">
        <v>3</v>
      </c>
    </row>
    <row r="234" spans="2:5" x14ac:dyDescent="0.25">
      <c r="B234" s="78" t="s">
        <v>800</v>
      </c>
      <c r="C234" s="78" t="s">
        <v>138</v>
      </c>
      <c r="D234" s="78" t="s">
        <v>801</v>
      </c>
      <c r="E234" s="78">
        <v>1</v>
      </c>
    </row>
    <row r="235" spans="2:5" x14ac:dyDescent="0.25">
      <c r="B235" s="78" t="s">
        <v>558</v>
      </c>
      <c r="C235" s="78" t="s">
        <v>147</v>
      </c>
      <c r="D235" s="78" t="s">
        <v>559</v>
      </c>
      <c r="E235" s="78">
        <v>2</v>
      </c>
    </row>
    <row r="236" spans="2:5" x14ac:dyDescent="0.25">
      <c r="B236" s="78" t="s">
        <v>560</v>
      </c>
      <c r="C236" s="78" t="s">
        <v>160</v>
      </c>
      <c r="D236" s="78" t="s">
        <v>561</v>
      </c>
      <c r="E236" s="78">
        <v>2</v>
      </c>
    </row>
    <row r="237" spans="2:5" x14ac:dyDescent="0.25">
      <c r="B237" s="78" t="s">
        <v>562</v>
      </c>
      <c r="C237" s="78" t="s">
        <v>147</v>
      </c>
      <c r="D237" s="78" t="s">
        <v>563</v>
      </c>
      <c r="E237" s="78">
        <v>2</v>
      </c>
    </row>
    <row r="238" spans="2:5" x14ac:dyDescent="0.25">
      <c r="B238" s="78" t="s">
        <v>564</v>
      </c>
      <c r="C238" s="78" t="s">
        <v>251</v>
      </c>
      <c r="D238" s="78" t="s">
        <v>565</v>
      </c>
      <c r="E238" s="78">
        <v>2</v>
      </c>
    </row>
    <row r="239" spans="2:5" x14ac:dyDescent="0.25">
      <c r="B239" s="78" t="s">
        <v>566</v>
      </c>
      <c r="C239" s="78" t="s">
        <v>326</v>
      </c>
      <c r="D239" s="78" t="s">
        <v>567</v>
      </c>
      <c r="E239" s="78">
        <v>5</v>
      </c>
    </row>
    <row r="240" spans="2:5" x14ac:dyDescent="0.25">
      <c r="B240" s="78" t="s">
        <v>568</v>
      </c>
      <c r="C240" s="78" t="s">
        <v>160</v>
      </c>
      <c r="D240" s="78" t="s">
        <v>569</v>
      </c>
      <c r="E240" s="78">
        <v>2</v>
      </c>
    </row>
    <row r="241" spans="2:5" x14ac:dyDescent="0.25">
      <c r="B241" s="78" t="s">
        <v>570</v>
      </c>
      <c r="C241" s="78" t="s">
        <v>144</v>
      </c>
      <c r="D241" s="78" t="s">
        <v>571</v>
      </c>
      <c r="E241" s="78">
        <v>2</v>
      </c>
    </row>
    <row r="242" spans="2:5" x14ac:dyDescent="0.25">
      <c r="B242" s="78" t="s">
        <v>572</v>
      </c>
      <c r="C242" s="78" t="s">
        <v>573</v>
      </c>
      <c r="D242" s="78" t="s">
        <v>574</v>
      </c>
      <c r="E242" s="78">
        <v>2</v>
      </c>
    </row>
    <row r="243" spans="2:5" x14ac:dyDescent="0.25">
      <c r="B243" s="78" t="s">
        <v>575</v>
      </c>
      <c r="C243" s="78" t="s">
        <v>138</v>
      </c>
      <c r="D243" s="78" t="s">
        <v>576</v>
      </c>
      <c r="E243" s="78">
        <v>1</v>
      </c>
    </row>
    <row r="244" spans="2:5" x14ac:dyDescent="0.25">
      <c r="B244" s="78" t="s">
        <v>577</v>
      </c>
      <c r="C244" s="78" t="s">
        <v>138</v>
      </c>
      <c r="D244" s="78" t="s">
        <v>578</v>
      </c>
      <c r="E244" s="78">
        <v>1</v>
      </c>
    </row>
    <row r="245" spans="2:5" x14ac:dyDescent="0.25">
      <c r="B245" s="78" t="s">
        <v>579</v>
      </c>
      <c r="C245" s="78" t="s">
        <v>147</v>
      </c>
      <c r="D245" s="78" t="s">
        <v>580</v>
      </c>
      <c r="E245" s="78">
        <v>2</v>
      </c>
    </row>
    <row r="246" spans="2:5" x14ac:dyDescent="0.25">
      <c r="B246" s="78" t="s">
        <v>581</v>
      </c>
      <c r="C246" s="78" t="s">
        <v>138</v>
      </c>
      <c r="D246" s="78" t="s">
        <v>582</v>
      </c>
      <c r="E246" s="78">
        <v>1</v>
      </c>
    </row>
    <row r="247" spans="2:5" x14ac:dyDescent="0.25">
      <c r="B247" s="78" t="s">
        <v>583</v>
      </c>
      <c r="C247" s="78" t="s">
        <v>206</v>
      </c>
      <c r="D247" s="78" t="s">
        <v>584</v>
      </c>
      <c r="E247" s="78">
        <v>4</v>
      </c>
    </row>
    <row r="248" spans="2:5" x14ac:dyDescent="0.25">
      <c r="B248" s="78" t="s">
        <v>585</v>
      </c>
      <c r="C248" s="78" t="s">
        <v>430</v>
      </c>
      <c r="D248" s="78" t="s">
        <v>586</v>
      </c>
      <c r="E248" s="78">
        <v>6</v>
      </c>
    </row>
    <row r="249" spans="2:5" x14ac:dyDescent="0.25">
      <c r="B249" s="78" t="s">
        <v>897</v>
      </c>
      <c r="C249" s="78" t="s">
        <v>849</v>
      </c>
      <c r="D249" s="78" t="s">
        <v>898</v>
      </c>
      <c r="E249" s="78">
        <v>6</v>
      </c>
    </row>
    <row r="250" spans="2:5" x14ac:dyDescent="0.25">
      <c r="B250" s="78" t="s">
        <v>587</v>
      </c>
      <c r="C250" s="78" t="s">
        <v>488</v>
      </c>
      <c r="D250" s="78" t="s">
        <v>588</v>
      </c>
      <c r="E250" s="78">
        <v>5</v>
      </c>
    </row>
    <row r="251" spans="2:5" x14ac:dyDescent="0.25">
      <c r="B251" s="78" t="s">
        <v>587</v>
      </c>
      <c r="C251" s="78" t="s">
        <v>488</v>
      </c>
      <c r="D251" s="78" t="s">
        <v>588</v>
      </c>
      <c r="E251" s="78">
        <v>5</v>
      </c>
    </row>
    <row r="252" spans="2:5" x14ac:dyDescent="0.25">
      <c r="B252" s="78" t="s">
        <v>589</v>
      </c>
      <c r="C252" s="78" t="s">
        <v>590</v>
      </c>
      <c r="D252" s="78" t="s">
        <v>591</v>
      </c>
      <c r="E252" s="78">
        <v>6</v>
      </c>
    </row>
    <row r="253" spans="2:5" x14ac:dyDescent="0.25">
      <c r="B253" s="78" t="s">
        <v>592</v>
      </c>
      <c r="C253" s="78" t="s">
        <v>138</v>
      </c>
      <c r="D253" s="78" t="s">
        <v>593</v>
      </c>
      <c r="E253" s="78">
        <v>1</v>
      </c>
    </row>
    <row r="254" spans="2:5" x14ac:dyDescent="0.25">
      <c r="B254" s="78" t="s">
        <v>594</v>
      </c>
      <c r="C254" s="78" t="s">
        <v>138</v>
      </c>
      <c r="D254" s="78" t="s">
        <v>595</v>
      </c>
      <c r="E254" s="78">
        <v>1</v>
      </c>
    </row>
    <row r="255" spans="2:5" x14ac:dyDescent="0.25">
      <c r="B255" s="78" t="s">
        <v>899</v>
      </c>
      <c r="C255" s="78" t="s">
        <v>859</v>
      </c>
      <c r="D255" s="78" t="s">
        <v>900</v>
      </c>
      <c r="E255" s="78">
        <v>3</v>
      </c>
    </row>
    <row r="256" spans="2:5" x14ac:dyDescent="0.25">
      <c r="B256" s="78" t="s">
        <v>901</v>
      </c>
      <c r="C256" s="78" t="s">
        <v>859</v>
      </c>
      <c r="D256" s="78" t="s">
        <v>902</v>
      </c>
      <c r="E256" s="78">
        <v>3</v>
      </c>
    </row>
    <row r="257" spans="2:5" x14ac:dyDescent="0.25">
      <c r="B257" s="78" t="s">
        <v>903</v>
      </c>
      <c r="C257" s="78" t="s">
        <v>859</v>
      </c>
      <c r="D257" s="78" t="s">
        <v>904</v>
      </c>
      <c r="E257" s="78">
        <v>3</v>
      </c>
    </row>
    <row r="258" spans="2:5" x14ac:dyDescent="0.25">
      <c r="B258" s="78" t="s">
        <v>905</v>
      </c>
      <c r="C258" s="78" t="s">
        <v>859</v>
      </c>
      <c r="D258" s="78" t="s">
        <v>906</v>
      </c>
      <c r="E258" s="78">
        <v>3</v>
      </c>
    </row>
    <row r="259" spans="2:5" x14ac:dyDescent="0.25">
      <c r="B259" s="78" t="s">
        <v>907</v>
      </c>
      <c r="C259" s="78" t="s">
        <v>859</v>
      </c>
      <c r="D259" s="78" t="s">
        <v>908</v>
      </c>
      <c r="E259" s="78">
        <v>2</v>
      </c>
    </row>
    <row r="260" spans="2:5" x14ac:dyDescent="0.25">
      <c r="B260" s="78" t="s">
        <v>596</v>
      </c>
      <c r="C260" s="78" t="s">
        <v>138</v>
      </c>
      <c r="D260" s="78" t="s">
        <v>597</v>
      </c>
      <c r="E260" s="78">
        <v>1</v>
      </c>
    </row>
    <row r="261" spans="2:5" x14ac:dyDescent="0.25">
      <c r="B261" s="78" t="s">
        <v>816</v>
      </c>
      <c r="C261" s="78" t="s">
        <v>147</v>
      </c>
      <c r="D261" s="78" t="s">
        <v>817</v>
      </c>
      <c r="E261" s="78">
        <v>2</v>
      </c>
    </row>
    <row r="262" spans="2:5" x14ac:dyDescent="0.25">
      <c r="B262" s="78" t="s">
        <v>598</v>
      </c>
      <c r="C262" s="78" t="s">
        <v>141</v>
      </c>
      <c r="D262" s="78" t="s">
        <v>599</v>
      </c>
      <c r="E262" s="78">
        <v>2</v>
      </c>
    </row>
    <row r="263" spans="2:5" x14ac:dyDescent="0.25">
      <c r="B263" s="78" t="s">
        <v>600</v>
      </c>
      <c r="C263" s="78" t="s">
        <v>138</v>
      </c>
      <c r="D263" s="78" t="s">
        <v>601</v>
      </c>
      <c r="E263" s="78">
        <v>1</v>
      </c>
    </row>
    <row r="264" spans="2:5" x14ac:dyDescent="0.25">
      <c r="B264" s="78" t="s">
        <v>909</v>
      </c>
      <c r="C264" s="78" t="s">
        <v>859</v>
      </c>
      <c r="D264" s="78" t="s">
        <v>910</v>
      </c>
      <c r="E264" s="78">
        <v>1</v>
      </c>
    </row>
    <row r="265" spans="2:5" x14ac:dyDescent="0.25">
      <c r="B265" s="78" t="s">
        <v>911</v>
      </c>
      <c r="C265" s="78" t="s">
        <v>835</v>
      </c>
      <c r="D265" s="78" t="s">
        <v>912</v>
      </c>
      <c r="E265" s="78">
        <v>5</v>
      </c>
    </row>
    <row r="266" spans="2:5" x14ac:dyDescent="0.25">
      <c r="B266" s="78" t="s">
        <v>602</v>
      </c>
      <c r="C266" s="78" t="s">
        <v>193</v>
      </c>
      <c r="D266" s="78" t="s">
        <v>603</v>
      </c>
      <c r="E266" s="78">
        <v>5</v>
      </c>
    </row>
    <row r="267" spans="2:5" x14ac:dyDescent="0.25">
      <c r="B267" s="78" t="s">
        <v>604</v>
      </c>
      <c r="C267" s="78" t="s">
        <v>193</v>
      </c>
      <c r="D267" s="78" t="s">
        <v>605</v>
      </c>
      <c r="E267" s="78">
        <v>5</v>
      </c>
    </row>
    <row r="268" spans="2:5" x14ac:dyDescent="0.25">
      <c r="B268" s="78" t="s">
        <v>606</v>
      </c>
      <c r="C268" s="78" t="s">
        <v>206</v>
      </c>
      <c r="D268" s="78" t="s">
        <v>607</v>
      </c>
      <c r="E268" s="78">
        <v>4</v>
      </c>
    </row>
    <row r="269" spans="2:5" x14ac:dyDescent="0.25">
      <c r="B269" s="78" t="s">
        <v>608</v>
      </c>
      <c r="C269" s="78" t="s">
        <v>168</v>
      </c>
      <c r="D269" s="78" t="s">
        <v>609</v>
      </c>
      <c r="E269" s="78">
        <v>5</v>
      </c>
    </row>
    <row r="270" spans="2:5" x14ac:dyDescent="0.25">
      <c r="B270" s="80" t="s">
        <v>610</v>
      </c>
      <c r="C270" s="80" t="s">
        <v>138</v>
      </c>
      <c r="D270" s="80" t="s">
        <v>611</v>
      </c>
      <c r="E270" s="80">
        <v>1</v>
      </c>
    </row>
    <row r="271" spans="2:5" x14ac:dyDescent="0.25">
      <c r="B271" s="78" t="s">
        <v>612</v>
      </c>
      <c r="C271" s="78" t="s">
        <v>138</v>
      </c>
      <c r="D271" s="78" t="s">
        <v>613</v>
      </c>
      <c r="E271" s="78">
        <v>1</v>
      </c>
    </row>
    <row r="272" spans="2:5" x14ac:dyDescent="0.25">
      <c r="B272" s="78" t="s">
        <v>802</v>
      </c>
      <c r="C272" s="78" t="s">
        <v>138</v>
      </c>
      <c r="D272" s="78" t="s">
        <v>803</v>
      </c>
      <c r="E272" s="78">
        <v>1</v>
      </c>
    </row>
    <row r="273" spans="2:5" x14ac:dyDescent="0.25">
      <c r="B273" s="78" t="s">
        <v>804</v>
      </c>
      <c r="C273" s="78" t="s">
        <v>138</v>
      </c>
      <c r="D273" s="78" t="s">
        <v>614</v>
      </c>
      <c r="E273" s="78">
        <v>1</v>
      </c>
    </row>
    <row r="274" spans="2:5" x14ac:dyDescent="0.25">
      <c r="B274" s="78" t="s">
        <v>615</v>
      </c>
      <c r="C274" s="78" t="s">
        <v>138</v>
      </c>
      <c r="D274" s="78" t="s">
        <v>616</v>
      </c>
      <c r="E274" s="78">
        <v>1</v>
      </c>
    </row>
    <row r="275" spans="2:5" x14ac:dyDescent="0.25">
      <c r="B275" s="78" t="s">
        <v>617</v>
      </c>
      <c r="C275" s="78" t="s">
        <v>152</v>
      </c>
      <c r="D275" s="78" t="s">
        <v>618</v>
      </c>
      <c r="E275" s="78">
        <v>3</v>
      </c>
    </row>
    <row r="276" spans="2:5" x14ac:dyDescent="0.25">
      <c r="B276" s="78" t="s">
        <v>619</v>
      </c>
      <c r="C276" s="78" t="s">
        <v>138</v>
      </c>
      <c r="D276" s="78" t="s">
        <v>620</v>
      </c>
      <c r="E276" s="78">
        <v>1</v>
      </c>
    </row>
    <row r="277" spans="2:5" x14ac:dyDescent="0.25">
      <c r="B277" s="78" t="s">
        <v>621</v>
      </c>
      <c r="C277" s="78" t="s">
        <v>138</v>
      </c>
      <c r="D277" s="78" t="s">
        <v>622</v>
      </c>
      <c r="E277" s="78">
        <v>1</v>
      </c>
    </row>
    <row r="278" spans="2:5" x14ac:dyDescent="0.25">
      <c r="B278" s="78" t="s">
        <v>818</v>
      </c>
      <c r="C278" s="78" t="s">
        <v>147</v>
      </c>
      <c r="D278" s="78" t="s">
        <v>623</v>
      </c>
      <c r="E278" s="78">
        <v>2</v>
      </c>
    </row>
    <row r="279" spans="2:5" x14ac:dyDescent="0.25">
      <c r="B279" s="78" t="s">
        <v>624</v>
      </c>
      <c r="C279" s="78" t="s">
        <v>282</v>
      </c>
      <c r="D279" s="78" t="s">
        <v>625</v>
      </c>
      <c r="E279" s="78">
        <v>5</v>
      </c>
    </row>
    <row r="280" spans="2:5" x14ac:dyDescent="0.25">
      <c r="B280" s="78" t="s">
        <v>626</v>
      </c>
      <c r="C280" s="78" t="s">
        <v>387</v>
      </c>
      <c r="D280" s="78" t="s">
        <v>627</v>
      </c>
      <c r="E280" s="78">
        <v>5</v>
      </c>
    </row>
    <row r="281" spans="2:5" x14ac:dyDescent="0.25">
      <c r="B281" s="78" t="s">
        <v>628</v>
      </c>
      <c r="C281" s="78" t="s">
        <v>430</v>
      </c>
      <c r="D281" s="78" t="s">
        <v>629</v>
      </c>
      <c r="E281" s="78">
        <v>6</v>
      </c>
    </row>
    <row r="282" spans="2:5" x14ac:dyDescent="0.25">
      <c r="B282" s="78" t="s">
        <v>630</v>
      </c>
      <c r="C282" s="78" t="s">
        <v>631</v>
      </c>
      <c r="D282" s="78" t="s">
        <v>632</v>
      </c>
      <c r="E282" s="78">
        <v>3</v>
      </c>
    </row>
    <row r="283" spans="2:5" x14ac:dyDescent="0.25">
      <c r="B283" s="78" t="s">
        <v>633</v>
      </c>
      <c r="C283" s="78" t="s">
        <v>590</v>
      </c>
      <c r="D283" s="78" t="s">
        <v>634</v>
      </c>
      <c r="E283" s="78">
        <v>6</v>
      </c>
    </row>
    <row r="284" spans="2:5" x14ac:dyDescent="0.25">
      <c r="B284" s="78" t="s">
        <v>635</v>
      </c>
      <c r="C284" s="78" t="s">
        <v>636</v>
      </c>
      <c r="D284" s="78" t="s">
        <v>637</v>
      </c>
      <c r="E284" s="78">
        <v>5</v>
      </c>
    </row>
    <row r="285" spans="2:5" x14ac:dyDescent="0.25">
      <c r="B285" s="78" t="s">
        <v>638</v>
      </c>
      <c r="C285" s="78" t="s">
        <v>138</v>
      </c>
      <c r="D285" s="78" t="s">
        <v>639</v>
      </c>
      <c r="E285" s="78">
        <v>1</v>
      </c>
    </row>
    <row r="286" spans="2:5" x14ac:dyDescent="0.25">
      <c r="B286" s="78" t="s">
        <v>640</v>
      </c>
      <c r="C286" s="78" t="s">
        <v>641</v>
      </c>
      <c r="D286" s="78" t="s">
        <v>642</v>
      </c>
      <c r="E286" s="78">
        <v>6</v>
      </c>
    </row>
    <row r="287" spans="2:5" x14ac:dyDescent="0.25">
      <c r="B287" s="78" t="s">
        <v>643</v>
      </c>
      <c r="C287" s="78" t="s">
        <v>138</v>
      </c>
      <c r="D287" s="78" t="s">
        <v>644</v>
      </c>
      <c r="E287" s="78">
        <v>1</v>
      </c>
    </row>
    <row r="288" spans="2:5" x14ac:dyDescent="0.25">
      <c r="B288" s="78" t="s">
        <v>645</v>
      </c>
      <c r="C288" s="78" t="s">
        <v>264</v>
      </c>
      <c r="D288" s="78" t="s">
        <v>646</v>
      </c>
      <c r="E288" s="78">
        <v>4</v>
      </c>
    </row>
    <row r="289" spans="2:5" x14ac:dyDescent="0.25">
      <c r="B289" s="78" t="s">
        <v>647</v>
      </c>
      <c r="C289" s="78" t="s">
        <v>157</v>
      </c>
      <c r="D289" s="78" t="s">
        <v>648</v>
      </c>
      <c r="E289" s="78">
        <v>3</v>
      </c>
    </row>
    <row r="290" spans="2:5" x14ac:dyDescent="0.25">
      <c r="B290" s="78" t="s">
        <v>649</v>
      </c>
      <c r="C290" s="78" t="s">
        <v>453</v>
      </c>
      <c r="D290" s="78" t="s">
        <v>650</v>
      </c>
      <c r="E290" s="78">
        <v>6</v>
      </c>
    </row>
    <row r="291" spans="2:5" x14ac:dyDescent="0.25">
      <c r="B291" s="78" t="s">
        <v>651</v>
      </c>
      <c r="C291" s="78" t="s">
        <v>157</v>
      </c>
      <c r="D291" s="78" t="s">
        <v>652</v>
      </c>
      <c r="E291" s="78">
        <v>3</v>
      </c>
    </row>
    <row r="292" spans="2:5" x14ac:dyDescent="0.25">
      <c r="B292" s="78" t="s">
        <v>653</v>
      </c>
      <c r="C292" s="78" t="s">
        <v>168</v>
      </c>
      <c r="D292" s="78" t="s">
        <v>654</v>
      </c>
      <c r="E292" s="78">
        <v>5</v>
      </c>
    </row>
    <row r="293" spans="2:5" x14ac:dyDescent="0.25">
      <c r="B293" s="78" t="s">
        <v>655</v>
      </c>
      <c r="C293" s="78" t="s">
        <v>376</v>
      </c>
      <c r="D293" s="78" t="s">
        <v>656</v>
      </c>
      <c r="E293" s="78">
        <v>6</v>
      </c>
    </row>
    <row r="294" spans="2:5" x14ac:dyDescent="0.25">
      <c r="B294" s="78" t="s">
        <v>657</v>
      </c>
      <c r="C294" s="78" t="s">
        <v>147</v>
      </c>
      <c r="D294" s="78" t="s">
        <v>658</v>
      </c>
      <c r="E294" s="78">
        <v>2</v>
      </c>
    </row>
    <row r="295" spans="2:5" x14ac:dyDescent="0.25">
      <c r="B295" s="78" t="s">
        <v>659</v>
      </c>
      <c r="C295" s="78" t="s">
        <v>251</v>
      </c>
      <c r="D295" s="78" t="s">
        <v>660</v>
      </c>
      <c r="E295" s="78">
        <v>2</v>
      </c>
    </row>
    <row r="296" spans="2:5" x14ac:dyDescent="0.25">
      <c r="B296" s="78" t="s">
        <v>661</v>
      </c>
      <c r="C296" s="78" t="s">
        <v>662</v>
      </c>
      <c r="D296" s="78" t="s">
        <v>663</v>
      </c>
      <c r="E296" s="78">
        <v>4</v>
      </c>
    </row>
    <row r="297" spans="2:5" x14ac:dyDescent="0.25">
      <c r="B297" s="78" t="s">
        <v>664</v>
      </c>
      <c r="C297" s="78" t="s">
        <v>665</v>
      </c>
      <c r="D297" s="78" t="s">
        <v>666</v>
      </c>
      <c r="E297" s="78">
        <v>5</v>
      </c>
    </row>
    <row r="298" spans="2:5" x14ac:dyDescent="0.25">
      <c r="B298" s="78" t="s">
        <v>667</v>
      </c>
      <c r="C298" s="78" t="s">
        <v>668</v>
      </c>
      <c r="D298" s="78" t="s">
        <v>669</v>
      </c>
      <c r="E298" s="78">
        <v>6</v>
      </c>
    </row>
    <row r="299" spans="2:5" x14ac:dyDescent="0.25">
      <c r="B299" s="78" t="s">
        <v>670</v>
      </c>
      <c r="C299" s="78" t="s">
        <v>168</v>
      </c>
      <c r="D299" s="78" t="s">
        <v>671</v>
      </c>
      <c r="E299" s="78">
        <v>5</v>
      </c>
    </row>
    <row r="300" spans="2:5" x14ac:dyDescent="0.25">
      <c r="B300" s="78" t="s">
        <v>825</v>
      </c>
      <c r="C300" s="78" t="s">
        <v>206</v>
      </c>
      <c r="D300" s="78" t="s">
        <v>826</v>
      </c>
      <c r="E300" s="78">
        <v>4</v>
      </c>
    </row>
    <row r="301" spans="2:5" x14ac:dyDescent="0.25">
      <c r="B301" s="78" t="s">
        <v>672</v>
      </c>
      <c r="C301" s="78" t="s">
        <v>315</v>
      </c>
      <c r="D301" s="78" t="s">
        <v>673</v>
      </c>
      <c r="E301" s="78">
        <v>6</v>
      </c>
    </row>
    <row r="302" spans="2:5" x14ac:dyDescent="0.25">
      <c r="B302" s="78" t="s">
        <v>674</v>
      </c>
      <c r="C302" s="78" t="s">
        <v>665</v>
      </c>
      <c r="D302" s="78" t="s">
        <v>675</v>
      </c>
      <c r="E302" s="78">
        <v>5</v>
      </c>
    </row>
    <row r="303" spans="2:5" x14ac:dyDescent="0.25">
      <c r="B303" s="78" t="s">
        <v>676</v>
      </c>
      <c r="C303" s="78" t="s">
        <v>138</v>
      </c>
      <c r="D303" s="78" t="s">
        <v>677</v>
      </c>
      <c r="E303" s="78">
        <v>1</v>
      </c>
    </row>
    <row r="304" spans="2:5" x14ac:dyDescent="0.25">
      <c r="B304" s="78" t="s">
        <v>678</v>
      </c>
      <c r="C304" s="78" t="s">
        <v>206</v>
      </c>
      <c r="D304" s="78" t="s">
        <v>679</v>
      </c>
      <c r="E304" s="78">
        <v>4</v>
      </c>
    </row>
    <row r="305" spans="2:5" x14ac:dyDescent="0.25">
      <c r="B305" s="78" t="s">
        <v>680</v>
      </c>
      <c r="C305" s="78" t="s">
        <v>350</v>
      </c>
      <c r="D305" s="78" t="s">
        <v>681</v>
      </c>
      <c r="E305" s="78">
        <v>2</v>
      </c>
    </row>
    <row r="306" spans="2:5" x14ac:dyDescent="0.25">
      <c r="B306" s="78" t="s">
        <v>682</v>
      </c>
      <c r="C306" s="78" t="s">
        <v>147</v>
      </c>
      <c r="D306" s="78" t="s">
        <v>683</v>
      </c>
      <c r="E306" s="78">
        <v>2</v>
      </c>
    </row>
    <row r="307" spans="2:5" x14ac:dyDescent="0.25">
      <c r="B307" s="78" t="s">
        <v>684</v>
      </c>
      <c r="C307" s="78" t="s">
        <v>631</v>
      </c>
      <c r="D307" s="78" t="s">
        <v>685</v>
      </c>
      <c r="E307" s="78">
        <v>3</v>
      </c>
    </row>
    <row r="308" spans="2:5" x14ac:dyDescent="0.25">
      <c r="B308" s="78" t="s">
        <v>686</v>
      </c>
      <c r="C308" s="78" t="s">
        <v>184</v>
      </c>
      <c r="D308" s="78" t="s">
        <v>687</v>
      </c>
      <c r="E308" s="78">
        <v>2</v>
      </c>
    </row>
    <row r="309" spans="2:5" x14ac:dyDescent="0.25">
      <c r="B309" s="78" t="s">
        <v>688</v>
      </c>
      <c r="C309" s="78" t="s">
        <v>233</v>
      </c>
      <c r="D309" s="78" t="s">
        <v>689</v>
      </c>
      <c r="E309" s="78">
        <v>5</v>
      </c>
    </row>
    <row r="310" spans="2:5" x14ac:dyDescent="0.25">
      <c r="B310" s="78" t="s">
        <v>690</v>
      </c>
      <c r="C310" s="78" t="s">
        <v>147</v>
      </c>
      <c r="D310" s="78" t="s">
        <v>691</v>
      </c>
      <c r="E310" s="78">
        <v>2</v>
      </c>
    </row>
    <row r="311" spans="2:5" x14ac:dyDescent="0.25">
      <c r="B311" s="78" t="s">
        <v>692</v>
      </c>
      <c r="C311" s="78" t="s">
        <v>168</v>
      </c>
      <c r="D311" s="78" t="s">
        <v>693</v>
      </c>
      <c r="E311" s="78">
        <v>5</v>
      </c>
    </row>
    <row r="312" spans="2:5" x14ac:dyDescent="0.25">
      <c r="B312" s="78" t="s">
        <v>694</v>
      </c>
      <c r="C312" s="78" t="s">
        <v>184</v>
      </c>
      <c r="D312" s="78" t="s">
        <v>695</v>
      </c>
      <c r="E312" s="78">
        <v>2</v>
      </c>
    </row>
    <row r="313" spans="2:5" x14ac:dyDescent="0.25">
      <c r="B313" s="78" t="s">
        <v>819</v>
      </c>
      <c r="C313" s="78" t="s">
        <v>367</v>
      </c>
      <c r="D313" s="78" t="s">
        <v>696</v>
      </c>
      <c r="E313" s="78">
        <v>3</v>
      </c>
    </row>
    <row r="314" spans="2:5" x14ac:dyDescent="0.25">
      <c r="B314" s="78" t="s">
        <v>850</v>
      </c>
      <c r="C314" s="78" t="s">
        <v>668</v>
      </c>
      <c r="D314" s="78" t="s">
        <v>699</v>
      </c>
      <c r="E314" s="78">
        <v>6</v>
      </c>
    </row>
    <row r="315" spans="2:5" x14ac:dyDescent="0.25">
      <c r="B315" s="78" t="s">
        <v>697</v>
      </c>
      <c r="C315" s="78" t="s">
        <v>184</v>
      </c>
      <c r="D315" s="78" t="s">
        <v>698</v>
      </c>
      <c r="E315" s="78">
        <v>2</v>
      </c>
    </row>
    <row r="316" spans="2:5" x14ac:dyDescent="0.25">
      <c r="B316" s="78" t="s">
        <v>700</v>
      </c>
      <c r="C316" s="78" t="s">
        <v>206</v>
      </c>
      <c r="D316" s="78" t="s">
        <v>701</v>
      </c>
      <c r="E316" s="78">
        <v>4</v>
      </c>
    </row>
    <row r="317" spans="2:5" x14ac:dyDescent="0.25">
      <c r="B317" s="78" t="s">
        <v>702</v>
      </c>
      <c r="C317" s="78" t="s">
        <v>350</v>
      </c>
      <c r="D317" s="78" t="s">
        <v>703</v>
      </c>
      <c r="E317" s="78">
        <v>2</v>
      </c>
    </row>
    <row r="318" spans="2:5" x14ac:dyDescent="0.25">
      <c r="B318" s="78" t="s">
        <v>704</v>
      </c>
      <c r="C318" s="78" t="s">
        <v>665</v>
      </c>
      <c r="D318" s="78" t="s">
        <v>705</v>
      </c>
      <c r="E318" s="78">
        <v>5</v>
      </c>
    </row>
    <row r="319" spans="2:5" x14ac:dyDescent="0.25">
      <c r="B319" s="78" t="s">
        <v>706</v>
      </c>
      <c r="C319" s="78" t="s">
        <v>668</v>
      </c>
      <c r="D319" s="78" t="s">
        <v>707</v>
      </c>
      <c r="E319" s="78">
        <v>6</v>
      </c>
    </row>
    <row r="320" spans="2:5" x14ac:dyDescent="0.25">
      <c r="B320" s="78" t="s">
        <v>708</v>
      </c>
      <c r="C320" s="78" t="s">
        <v>157</v>
      </c>
      <c r="D320" s="78" t="s">
        <v>709</v>
      </c>
      <c r="E320" s="78">
        <v>3</v>
      </c>
    </row>
    <row r="321" spans="2:5" x14ac:dyDescent="0.25">
      <c r="B321" s="78" t="s">
        <v>710</v>
      </c>
      <c r="C321" s="78" t="s">
        <v>196</v>
      </c>
      <c r="D321" s="78" t="s">
        <v>711</v>
      </c>
      <c r="E321" s="78">
        <v>6</v>
      </c>
    </row>
    <row r="322" spans="2:5" x14ac:dyDescent="0.25">
      <c r="B322" s="78" t="s">
        <v>712</v>
      </c>
      <c r="C322" s="78" t="s">
        <v>168</v>
      </c>
      <c r="D322" s="78" t="s">
        <v>713</v>
      </c>
      <c r="E322" s="78">
        <v>5</v>
      </c>
    </row>
    <row r="323" spans="2:5" x14ac:dyDescent="0.25">
      <c r="B323" s="78" t="s">
        <v>714</v>
      </c>
      <c r="C323" s="78" t="s">
        <v>193</v>
      </c>
      <c r="D323" s="78" t="s">
        <v>715</v>
      </c>
      <c r="E323" s="78">
        <v>5</v>
      </c>
    </row>
    <row r="324" spans="2:5" x14ac:dyDescent="0.25">
      <c r="B324" s="78" t="s">
        <v>716</v>
      </c>
      <c r="C324" s="78" t="s">
        <v>138</v>
      </c>
      <c r="D324" s="78" t="s">
        <v>717</v>
      </c>
      <c r="E324" s="78">
        <v>1</v>
      </c>
    </row>
    <row r="325" spans="2:5" x14ac:dyDescent="0.25">
      <c r="B325" s="78" t="s">
        <v>718</v>
      </c>
      <c r="C325" s="78" t="s">
        <v>138</v>
      </c>
      <c r="D325" s="78" t="s">
        <v>719</v>
      </c>
      <c r="E325" s="78">
        <v>1</v>
      </c>
    </row>
    <row r="326" spans="2:5" x14ac:dyDescent="0.25">
      <c r="B326" s="78" t="s">
        <v>839</v>
      </c>
      <c r="C326" s="78" t="s">
        <v>168</v>
      </c>
      <c r="D326" s="78" t="s">
        <v>725</v>
      </c>
      <c r="E326" s="78">
        <v>5</v>
      </c>
    </row>
    <row r="327" spans="2:5" x14ac:dyDescent="0.25">
      <c r="B327" s="78" t="s">
        <v>720</v>
      </c>
      <c r="C327" s="78" t="s">
        <v>282</v>
      </c>
      <c r="D327" s="78" t="s">
        <v>721</v>
      </c>
      <c r="E327" s="78">
        <v>5</v>
      </c>
    </row>
    <row r="328" spans="2:5" x14ac:dyDescent="0.25">
      <c r="B328" s="78" t="s">
        <v>722</v>
      </c>
      <c r="C328" s="78" t="s">
        <v>723</v>
      </c>
      <c r="D328" s="78" t="s">
        <v>724</v>
      </c>
      <c r="E328" s="78">
        <v>5</v>
      </c>
    </row>
    <row r="329" spans="2:5" x14ac:dyDescent="0.25">
      <c r="B329" s="78" t="s">
        <v>726</v>
      </c>
      <c r="C329" s="78" t="s">
        <v>668</v>
      </c>
      <c r="D329" s="78" t="s">
        <v>727</v>
      </c>
      <c r="E329" s="78">
        <v>6</v>
      </c>
    </row>
    <row r="330" spans="2:5" x14ac:dyDescent="0.25">
      <c r="B330" s="78" t="s">
        <v>913</v>
      </c>
      <c r="C330" s="78" t="s">
        <v>833</v>
      </c>
      <c r="D330" s="78" t="s">
        <v>914</v>
      </c>
      <c r="E330" s="78">
        <v>5</v>
      </c>
    </row>
    <row r="331" spans="2:5" x14ac:dyDescent="0.25">
      <c r="B331" s="78" t="s">
        <v>728</v>
      </c>
      <c r="C331" s="78" t="s">
        <v>729</v>
      </c>
      <c r="D331" s="78" t="s">
        <v>730</v>
      </c>
      <c r="E331" s="78">
        <v>5</v>
      </c>
    </row>
    <row r="332" spans="2:5" x14ac:dyDescent="0.25">
      <c r="B332" s="78" t="s">
        <v>731</v>
      </c>
      <c r="C332" s="78" t="s">
        <v>206</v>
      </c>
      <c r="D332" s="78" t="s">
        <v>732</v>
      </c>
      <c r="E332" s="78">
        <v>4</v>
      </c>
    </row>
    <row r="333" spans="2:5" x14ac:dyDescent="0.25">
      <c r="B333" s="78" t="s">
        <v>733</v>
      </c>
      <c r="C333" s="78" t="s">
        <v>206</v>
      </c>
      <c r="D333" s="78" t="s">
        <v>734</v>
      </c>
      <c r="E333" s="78">
        <v>4</v>
      </c>
    </row>
    <row r="334" spans="2:5" x14ac:dyDescent="0.25">
      <c r="B334" s="78" t="s">
        <v>735</v>
      </c>
      <c r="C334" s="78" t="s">
        <v>165</v>
      </c>
      <c r="D334" s="78" t="s">
        <v>736</v>
      </c>
      <c r="E334" s="78">
        <v>6</v>
      </c>
    </row>
    <row r="335" spans="2:5" x14ac:dyDescent="0.25">
      <c r="B335" s="78" t="s">
        <v>737</v>
      </c>
      <c r="C335" s="78" t="s">
        <v>384</v>
      </c>
      <c r="D335" s="78" t="s">
        <v>738</v>
      </c>
      <c r="E335" s="78">
        <v>2</v>
      </c>
    </row>
    <row r="336" spans="2:5" x14ac:dyDescent="0.25">
      <c r="B336" s="78" t="s">
        <v>739</v>
      </c>
      <c r="C336" s="78" t="s">
        <v>138</v>
      </c>
      <c r="D336" s="78" t="s">
        <v>740</v>
      </c>
      <c r="E336" s="78">
        <v>1</v>
      </c>
    </row>
    <row r="337" spans="2:5" x14ac:dyDescent="0.25">
      <c r="B337" s="78" t="s">
        <v>741</v>
      </c>
      <c r="C337" s="78" t="s">
        <v>152</v>
      </c>
      <c r="D337" s="78" t="s">
        <v>742</v>
      </c>
      <c r="E337" s="78">
        <v>3</v>
      </c>
    </row>
    <row r="338" spans="2:5" x14ac:dyDescent="0.25">
      <c r="B338" s="78" t="s">
        <v>805</v>
      </c>
      <c r="C338" s="78" t="s">
        <v>138</v>
      </c>
      <c r="D338" s="78" t="s">
        <v>806</v>
      </c>
      <c r="E338" s="78">
        <v>1</v>
      </c>
    </row>
    <row r="339" spans="2:5" x14ac:dyDescent="0.25">
      <c r="B339" s="78" t="s">
        <v>743</v>
      </c>
      <c r="C339" s="78" t="s">
        <v>152</v>
      </c>
      <c r="D339" s="78" t="s">
        <v>744</v>
      </c>
      <c r="E339" s="78">
        <v>3</v>
      </c>
    </row>
    <row r="340" spans="2:5" x14ac:dyDescent="0.25">
      <c r="B340" s="78" t="s">
        <v>745</v>
      </c>
      <c r="C340" s="78" t="s">
        <v>665</v>
      </c>
      <c r="D340" s="78" t="s">
        <v>746</v>
      </c>
      <c r="E340" s="78">
        <v>5</v>
      </c>
    </row>
    <row r="341" spans="2:5" x14ac:dyDescent="0.25">
      <c r="B341" s="78" t="s">
        <v>840</v>
      </c>
      <c r="C341" s="78" t="s">
        <v>295</v>
      </c>
      <c r="D341" s="78" t="s">
        <v>747</v>
      </c>
      <c r="E341" s="78">
        <v>5</v>
      </c>
    </row>
    <row r="342" spans="2:5" x14ac:dyDescent="0.25">
      <c r="B342" s="78" t="s">
        <v>748</v>
      </c>
      <c r="C342" s="78" t="s">
        <v>138</v>
      </c>
      <c r="D342" s="78" t="s">
        <v>749</v>
      </c>
      <c r="E342" s="78">
        <v>1</v>
      </c>
    </row>
    <row r="343" spans="2:5" x14ac:dyDescent="0.25">
      <c r="B343" s="78" t="s">
        <v>750</v>
      </c>
      <c r="C343" s="78" t="s">
        <v>206</v>
      </c>
      <c r="D343" s="78" t="s">
        <v>751</v>
      </c>
      <c r="E343" s="78">
        <v>4</v>
      </c>
    </row>
    <row r="344" spans="2:5" x14ac:dyDescent="0.25">
      <c r="B344" s="80" t="s">
        <v>752</v>
      </c>
      <c r="C344" s="80" t="s">
        <v>206</v>
      </c>
      <c r="D344" s="80" t="s">
        <v>753</v>
      </c>
      <c r="E344" s="80">
        <v>4</v>
      </c>
    </row>
    <row r="345" spans="2:5" x14ac:dyDescent="0.25">
      <c r="B345" s="78" t="s">
        <v>915</v>
      </c>
      <c r="C345" s="78" t="s">
        <v>859</v>
      </c>
      <c r="D345" s="78" t="s">
        <v>916</v>
      </c>
      <c r="E345" s="78">
        <v>1</v>
      </c>
    </row>
    <row r="346" spans="2:5" x14ac:dyDescent="0.25">
      <c r="B346" s="78" t="s">
        <v>754</v>
      </c>
      <c r="C346" s="78" t="s">
        <v>315</v>
      </c>
      <c r="D346" s="78" t="s">
        <v>755</v>
      </c>
      <c r="E346" s="78">
        <v>6</v>
      </c>
    </row>
    <row r="347" spans="2:5" x14ac:dyDescent="0.25">
      <c r="B347" s="78" t="s">
        <v>756</v>
      </c>
      <c r="C347" s="78" t="s">
        <v>206</v>
      </c>
      <c r="D347" s="78" t="s">
        <v>757</v>
      </c>
      <c r="E347" s="78">
        <v>4</v>
      </c>
    </row>
    <row r="348" spans="2:5" x14ac:dyDescent="0.25">
      <c r="B348" s="78" t="s">
        <v>758</v>
      </c>
      <c r="C348" s="78" t="s">
        <v>168</v>
      </c>
      <c r="D348" s="78" t="s">
        <v>759</v>
      </c>
      <c r="E348" s="78">
        <v>5</v>
      </c>
    </row>
    <row r="349" spans="2:5" x14ac:dyDescent="0.25">
      <c r="B349" s="78" t="s">
        <v>807</v>
      </c>
      <c r="C349" s="78" t="s">
        <v>138</v>
      </c>
      <c r="D349" s="78" t="s">
        <v>808</v>
      </c>
      <c r="E349" s="78">
        <v>1</v>
      </c>
    </row>
    <row r="350" spans="2:5" x14ac:dyDescent="0.25">
      <c r="B350" s="78" t="s">
        <v>760</v>
      </c>
      <c r="C350" s="78" t="s">
        <v>138</v>
      </c>
      <c r="D350" s="78" t="s">
        <v>761</v>
      </c>
      <c r="E350" s="78">
        <v>1</v>
      </c>
    </row>
    <row r="351" spans="2:5" x14ac:dyDescent="0.25">
      <c r="B351" s="78" t="s">
        <v>762</v>
      </c>
      <c r="C351" s="78" t="s">
        <v>138</v>
      </c>
      <c r="D351" s="78" t="s">
        <v>763</v>
      </c>
      <c r="E351" s="78">
        <v>1</v>
      </c>
    </row>
    <row r="352" spans="2:5" x14ac:dyDescent="0.25">
      <c r="B352" s="78" t="s">
        <v>764</v>
      </c>
      <c r="C352" s="78" t="s">
        <v>315</v>
      </c>
      <c r="D352" s="78" t="s">
        <v>765</v>
      </c>
      <c r="E352" s="78">
        <v>6</v>
      </c>
    </row>
    <row r="353" spans="2:5" x14ac:dyDescent="0.25">
      <c r="B353" s="78" t="s">
        <v>766</v>
      </c>
      <c r="C353" s="78" t="s">
        <v>138</v>
      </c>
      <c r="D353" s="78" t="s">
        <v>767</v>
      </c>
      <c r="E353" s="78">
        <v>1</v>
      </c>
    </row>
    <row r="354" spans="2:5" x14ac:dyDescent="0.25">
      <c r="B354" s="78" t="s">
        <v>768</v>
      </c>
      <c r="C354" s="78" t="s">
        <v>295</v>
      </c>
      <c r="D354" s="78" t="s">
        <v>769</v>
      </c>
      <c r="E354" s="78">
        <v>5</v>
      </c>
    </row>
    <row r="355" spans="2:5" x14ac:dyDescent="0.25">
      <c r="B355" s="78" t="s">
        <v>770</v>
      </c>
      <c r="C355" s="78" t="s">
        <v>206</v>
      </c>
      <c r="D355" s="78" t="s">
        <v>771</v>
      </c>
      <c r="E355" s="78">
        <v>4</v>
      </c>
    </row>
    <row r="356" spans="2:5" x14ac:dyDescent="0.25">
      <c r="B356" s="78" t="s">
        <v>827</v>
      </c>
      <c r="C356" s="78" t="s">
        <v>206</v>
      </c>
      <c r="D356" s="78" t="s">
        <v>828</v>
      </c>
      <c r="E356" s="78">
        <v>4</v>
      </c>
    </row>
    <row r="357" spans="2:5" x14ac:dyDescent="0.25">
      <c r="B357" s="78" t="s">
        <v>772</v>
      </c>
      <c r="C357" s="78" t="s">
        <v>315</v>
      </c>
      <c r="D357" s="78" t="s">
        <v>773</v>
      </c>
      <c r="E357" s="78">
        <v>6</v>
      </c>
    </row>
    <row r="358" spans="2:5" x14ac:dyDescent="0.25">
      <c r="B358" s="78" t="s">
        <v>774</v>
      </c>
      <c r="C358" s="78" t="s">
        <v>488</v>
      </c>
      <c r="D358" s="78" t="s">
        <v>775</v>
      </c>
      <c r="E358" s="78">
        <v>5</v>
      </c>
    </row>
    <row r="359" spans="2:5" x14ac:dyDescent="0.25">
      <c r="B359" s="78" t="s">
        <v>776</v>
      </c>
      <c r="C359" s="78" t="s">
        <v>206</v>
      </c>
      <c r="D359" s="78" t="s">
        <v>777</v>
      </c>
      <c r="E359" s="78">
        <v>4</v>
      </c>
    </row>
    <row r="360" spans="2:5" x14ac:dyDescent="0.25">
      <c r="B360" s="78" t="s">
        <v>778</v>
      </c>
      <c r="C360" s="78" t="s">
        <v>144</v>
      </c>
      <c r="D360" s="78" t="s">
        <v>779</v>
      </c>
      <c r="E360" s="78">
        <v>2</v>
      </c>
    </row>
    <row r="361" spans="2:5" x14ac:dyDescent="0.25">
      <c r="B361" s="78" t="s">
        <v>921</v>
      </c>
      <c r="C361" s="78" t="s">
        <v>147</v>
      </c>
      <c r="D361" s="78" t="s">
        <v>922</v>
      </c>
      <c r="E361" s="78">
        <v>2</v>
      </c>
    </row>
    <row r="362" spans="2:5" x14ac:dyDescent="0.25">
      <c r="B362" s="78" t="s">
        <v>923</v>
      </c>
      <c r="C362" s="78" t="s">
        <v>175</v>
      </c>
      <c r="D362" s="78" t="s">
        <v>924</v>
      </c>
      <c r="E362" s="78">
        <v>2</v>
      </c>
    </row>
    <row r="363" spans="2:5" x14ac:dyDescent="0.25">
      <c r="B363" s="78" t="s">
        <v>917</v>
      </c>
      <c r="C363" s="78" t="s">
        <v>918</v>
      </c>
      <c r="D363" s="78" t="s">
        <v>919</v>
      </c>
      <c r="E363" s="78">
        <v>1</v>
      </c>
    </row>
  </sheetData>
  <sortState xmlns:xlrd2="http://schemas.microsoft.com/office/spreadsheetml/2017/richdata2" ref="B3:E360">
    <sortCondition ref="B3:B360"/>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SMC Order &amp; Report Form</vt:lpstr>
      <vt:lpstr>Master List</vt:lpstr>
      <vt:lpstr>'SMC Order &amp; Report Form'!Print_Titles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Sharifah Mwajabu</dc:creator>
  <cp:lastModifiedBy>Betty Basasibwaki</cp:lastModifiedBy>
  <cp:lastPrinted>2019-01-23T15:44:59Z</cp:lastPrinted>
  <dcterms:created xsi:type="dcterms:W3CDTF">2014-07-02T19:41:30Z</dcterms:created>
  <dcterms:modified xsi:type="dcterms:W3CDTF">2019-06-18T07:01:51Z</dcterms:modified>
</cp:coreProperties>
</file>